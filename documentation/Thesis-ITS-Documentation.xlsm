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activeTab="5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  <sheet name="Testing" sheetId="7" r:id="rId6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O6" i="6" l="1"/>
  <c r="O5" i="6"/>
  <c r="O4" i="6"/>
  <c r="O7" i="6" l="1"/>
  <c r="P6" i="6" s="1"/>
  <c r="S8" i="6"/>
  <c r="S7" i="6"/>
  <c r="P4" i="6" l="1"/>
  <c r="P5" i="6"/>
  <c r="S6" i="6"/>
  <c r="S5" i="6"/>
  <c r="S4" i="6"/>
  <c r="I4" i="6"/>
  <c r="S9" i="6" l="1"/>
  <c r="T5" i="6" s="1"/>
  <c r="B4" i="6"/>
  <c r="B5" i="6"/>
  <c r="T4" i="6" l="1"/>
  <c r="T6" i="6"/>
  <c r="T7" i="6"/>
  <c r="T8" i="6"/>
  <c r="I6" i="6"/>
  <c r="I7" i="6"/>
  <c r="I5" i="6"/>
  <c r="B6" i="6"/>
  <c r="I8" i="6" l="1"/>
  <c r="J6" i="6" s="1"/>
  <c r="B7" i="6"/>
  <c r="C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<sst xmlns="http://schemas.openxmlformats.org/spreadsheetml/2006/main" count="1459" uniqueCount="705">
  <si>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</si>
  <si>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</si>
  <si>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</si>
  <si>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</si>
  <si>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</si>
  <si>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</si>
  <si>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</si>
  <si>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</si>
  <si>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</si>
  <si>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</si>
  <si>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</si>
  <si>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</si>
  <si>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</si>
  <si>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</si>
  <si>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</si>
  <si>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</si>
  <si>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</si>
  <si>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</si>
  <si>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</si>
  <si>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</si>
  <si>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</si>
  <si>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</si>
  <si>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</si>
  <si>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</si>
  <si>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</si>
  <si>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</si>
  <si>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</si>
  <si>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</si>
  <si>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</si>
  <si>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</si>
  <si>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</si>
  <si>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</si>
  <si>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</si>
  <si>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</si>
  <si>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</si>
  <si>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</si>
  <si>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</si>
  <si>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</si>
  <si>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</si>
  <si>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</si>
  <si>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</si>
  <si>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</si>
  <si>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</si>
  <si>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</si>
  <si>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</si>
  <si>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</si>
  <si>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</si>
  <si>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</si>
  <si>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</si>
  <si>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</si>
  <si>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</si>
  <si>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</si>
  <si>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</si>
  <si>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</si>
  <si>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</si>
  <si>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</si>
  <si>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</si>
  <si>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</si>
  <si>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</si>
  <si>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</si>
  <si>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</si>
  <si>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</si>
  <si>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</si>
  <si>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</si>
  <si>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</si>
  <si>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</si>
  <si>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</si>
  <si>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</si>
  <si>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</si>
  <si>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</si>
  <si>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</si>
  <si>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</si>
  <si>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</si>
  <si>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</si>
  <si>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</si>
  <si>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</si>
  <si>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</si>
  <si>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</si>
  <si>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</si>
  <si>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</si>
  <si>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</si>
  <si>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</si>
  <si>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</si>
  <si>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</si>
  <si>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</si>
  <si>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</si>
  <si>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</si>
  <si>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</si>
  <si>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</si>
  <si>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</si>
  <si>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</si>
  <si>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</si>
  <si>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</si>
  <si>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</si>
  <si>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</si>
  <si>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</si>
  <si>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</si>
  <si>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</si>
  <si>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</si>
  <si>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</si>
  <si>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</si>
  <si>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</si>
  <si>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</si>
  <si>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</si>
  <si>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</si>
  <si>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</si>
  <si>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</si>
  <si>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</si>
  <si>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</si>
  <si>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</si>
  <si>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</si>
  <si>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</si>
  <si>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</si>
  <si>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</si>
  <si>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</si>
  <si>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</si>
  <si>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</si>
  <si>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</si>
  <si>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</si>
  <si>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</si>
  <si>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</si>
  <si>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</si>
  <si>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</si>
  <si>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</si>
  <si>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</si>
  <si>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</si>
  <si>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</si>
  <si>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</si>
  <si>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</si>
  <si>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</si>
  <si>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</si>
  <si>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</si>
  <si>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</si>
  <si>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</si>
  <si>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</si>
  <si>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</si>
  <si>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</si>
  <si>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</si>
  <si>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</si>
  <si>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</si>
  <si>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</si>
  <si>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</si>
  <si>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</si>
  <si>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</si>
  <si>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</si>
  <si>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</si>
  <si>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</si>
  <si>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</si>
  <si>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</si>
  <si>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</si>
  <si>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</si>
  <si>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</si>
  <si>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</si>
  <si>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</si>
  <si>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</si>
  <si>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</si>
  <si>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</si>
  <si>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</si>
  <si>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</si>
  <si>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</si>
  <si>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</si>
  <si>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</si>
  <si>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</si>
  <si>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</si>
  <si>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</si>
  <si>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</si>
  <si>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</si>
  <si>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</si>
  <si>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</si>
  <si>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</si>
  <si>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</si>
  <si>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</si>
  <si>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</si>
  <si>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</si>
  <si>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</si>
  <si>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</si>
  <si>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</si>
  <si>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</si>
  <si>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</si>
  <si>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</si>
  <si>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</si>
  <si>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</si>
  <si>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</si>
  <si>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</si>
  <si>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</si>
  <si>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</si>
  <si>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</si>
  <si>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</si>
  <si>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</si>
  <si>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</si>
  <si>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</si>
  <si>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</si>
  <si>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</si>
  <si>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</si>
  <si>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</si>
  <si>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</si>
  <si>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</si>
  <si>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</si>
  <si>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</si>
  <si>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</si>
  <si>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</si>
  <si>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</si>
  <si>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</si>
  <si>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</si>
  <si>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</si>
  <si>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</si>
  <si>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</si>
  <si>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</si>
  <si>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</si>
  <si>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</si>
  <si>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</si>
  <si>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</si>
  <si>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</si>
  <si>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</si>
  <si>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</si>
  <si>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</si>
  <si>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</si>
  <si>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</si>
  <si>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</si>
  <si>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</si>
  <si>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</si>
  <si>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</si>
  <si>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</si>
  <si>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</si>
  <si>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</si>
  <si>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</si>
  <si>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</si>
  <si>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</si>
  <si>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</si>
  <si>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</si>
  <si>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</si>
  <si>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</si>
  <si>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</si>
  <si>
    <t>Checklist!A82</t>
  </si>
  <si>
    <t>Planning!J18</t>
  </si>
  <si>
    <t>* pull text lessons from db that contains certain tags</t>
  </si>
  <si>
    <t>* pull video lessons from db that contains certain tags</t>
  </si>
  <si>
    <t>* pull exercises from db that contains certain tags</t>
  </si>
  <si>
    <t>* pull lessons from database -&gt; contains some of the tags</t>
  </si>
  <si>
    <t>8/19/16</t>
  </si>
  <si>
    <t>Planning!J19</t>
  </si>
  <si>
    <t>Checklist!A86</t>
  </si>
  <si>
    <t>* refactor utils espescially toTagsString</t>
  </si>
  <si>
    <t>* organize utils and refactor to suited places</t>
  </si>
  <si>
    <t>8/20/16</t>
  </si>
  <si>
    <r>
      <t xml:space="preserve">* pull exercises from database -&gt; contains some of the tags
</t>
    </r>
    <r>
      <rPr>
        <sz val="11"/>
        <color rgb="FFC00000"/>
        <rFont val="Calibri"/>
        <family val="2"/>
      </rPr>
      <t>* randomize quizzes before displaying</t>
    </r>
  </si>
  <si>
    <t>8/21/16</t>
  </si>
  <si>
    <t>Checklist!A87</t>
  </si>
  <si>
    <t>Planning!J20</t>
  </si>
  <si>
    <t>* test OpenHFT - Java Runtime Compiler</t>
  </si>
  <si>
    <t>* JavaRuntimeCompilation -&gt; try OpenHFT</t>
  </si>
  <si>
    <t>8/22/16</t>
  </si>
  <si>
    <t>* store videos to directory and save the path to database</t>
  </si>
  <si>
    <t>* method to store videos to directory</t>
  </si>
  <si>
    <t>Planning!J21</t>
  </si>
  <si>
    <t>* method -&gt; pathTo(string from, string to)</t>
  </si>
  <si>
    <t>* TEST - if video is working after loading from database</t>
  </si>
  <si>
    <t>* TEST - upload the path to database</t>
  </si>
  <si>
    <t>* method -&gt; pathToVideo(string from)
call to pathTo("resources\videos")</t>
  </si>
  <si>
    <t>* create constructor - VideoLesson that accepts lesson</t>
  </si>
  <si>
    <t>* create constructor - TextLesson that accepts lesson</t>
  </si>
  <si>
    <t>* copy and clone methods for lessons</t>
  </si>
  <si>
    <t>8/23/16</t>
  </si>
  <si>
    <t>Planning!J22</t>
  </si>
  <si>
    <t>Checklist!A97</t>
  </si>
  <si>
    <t>Checklist!A89</t>
  </si>
  <si>
    <t>* methods for loading VideoLessons</t>
  </si>
  <si>
    <t>* methods loading video lesson path</t>
  </si>
  <si>
    <t>* IMPORTANT - randomize quizzes before displaying - use the static method randomize</t>
  </si>
  <si>
    <t>8/24/16</t>
  </si>
  <si>
    <t>* capture System.out.println stream to console using String</t>
  </si>
  <si>
    <t>Planning!J23</t>
  </si>
  <si>
    <t>Checklist!A98</t>
  </si>
  <si>
    <t>* capture the console System.out.println
* make sure to run the main method of the class</t>
  </si>
  <si>
    <t>* run the main method - check</t>
  </si>
  <si>
    <t>* make sure to run the main method first in some exercises if the class is needed</t>
  </si>
  <si>
    <t>8/26/16</t>
  </si>
  <si>
    <t>Checklist!A101</t>
  </si>
  <si>
    <t>* make the PracticalExercise model</t>
  </si>
  <si>
    <t>Planning!J24</t>
  </si>
  <si>
    <t>* practical exercise model, viewer, databse, and maker</t>
  </si>
  <si>
    <t>* make the PracticalExercise viewer</t>
  </si>
  <si>
    <t>* make the PracticalExercise database</t>
  </si>
  <si>
    <t>* make the PracticalExercise maker</t>
  </si>
  <si>
    <t>8/27/16</t>
  </si>
  <si>
    <t>* fixed something on level: getTagsString()</t>
  </si>
  <si>
    <t>Planning!J25</t>
  </si>
  <si>
    <t>Checklist!A104</t>
  </si>
  <si>
    <t>* fix level: getTagsString()</t>
  </si>
  <si>
    <t>RuntimeCompilation</t>
  </si>
  <si>
    <t>PracticalExercise</t>
  </si>
  <si>
    <t>PracticalPrintExercise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</si>
  <si>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printValidator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mustMatch</t>
    </r>
  </si>
  <si>
    <t>PracticalReturnExercise</t>
  </si>
  <si>
    <t>8/28/16</t>
  </si>
  <si>
    <t>Planning!J26</t>
  </si>
  <si>
    <t>* make PracticalPrintExercise model</t>
  </si>
  <si>
    <t>* make PracticalPrintExercise viewer</t>
  </si>
  <si>
    <t>* make PracticalPrintExercise maker</t>
  </si>
  <si>
    <t>* make PracticalReturnExercise maker</t>
  </si>
  <si>
    <t>* make PracticalReturnExercise model</t>
  </si>
  <si>
    <t>* make PracticalReturnExercise viewer</t>
  </si>
  <si>
    <t>Checklist!A105</t>
  </si>
  <si>
    <t>* separate practical exercise to print and return types
* print and return: maker, viewer, model</t>
  </si>
  <si>
    <t>PracticalReturnValidator</t>
  </si>
  <si>
    <t>InputParameter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</si>
  <si>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input
</t>
    </r>
    <r>
      <rPr>
        <sz val="11"/>
        <color rgb="FF00B050"/>
        <rFont val="Calibri"/>
        <family val="2"/>
        <scheme val="minor"/>
      </rPr>
      <t>DataType</t>
    </r>
    <r>
      <rPr>
        <sz val="11"/>
        <color theme="1"/>
        <rFont val="Calibri"/>
        <family val="2"/>
        <scheme val="minor"/>
      </rPr>
      <t xml:space="preserve"> inputType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</si>
  <si>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expectedReturn
</t>
    </r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inputs
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</si>
  <si>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ArrayList&lt;PracticalReturnValidator&gt;</t>
    </r>
    <r>
      <rPr>
        <sz val="11"/>
        <color theme="1"/>
        <rFont val="Calibri"/>
        <family val="2"/>
        <scheme val="minor"/>
      </rPr>
      <t xml:space="preserve"> returnValidators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parameterSize
</t>
    </r>
    <r>
      <rPr>
        <sz val="11"/>
        <color rgb="FF00B050"/>
        <rFont val="Calibri"/>
        <family val="2"/>
        <scheme val="minor"/>
      </rPr>
      <t>ArrayList&lt;DataType&gt;</t>
    </r>
    <r>
      <rPr>
        <sz val="11"/>
        <color theme="1"/>
        <rFont val="Calibri"/>
        <family val="2"/>
        <scheme val="minor"/>
      </rPr>
      <t xml:space="preserve"> parametersTypes</t>
    </r>
  </si>
  <si>
    <t>* make PracticalExercise maker</t>
  </si>
  <si>
    <t>8/29/16</t>
  </si>
  <si>
    <t>* bind PracticalPrintExercise maker to model</t>
  </si>
  <si>
    <t>* bind PracticalReturnExercise maker to model</t>
  </si>
  <si>
    <t>Planning!J27</t>
  </si>
  <si>
    <t>Checklist!A112</t>
  </si>
  <si>
    <t>* bind makers to models and make databases</t>
  </si>
  <si>
    <t>* isValid() PracticalPrintExercise - validation</t>
  </si>
  <si>
    <t>* isValid() PracticalReturnExercise - validation</t>
  </si>
  <si>
    <t>* practical exercises clone and copy methods</t>
  </si>
  <si>
    <t>* remove implement serializable on models with fields that cannot be serialized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</si>
  <si>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instructions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code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className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methodName</t>
    </r>
    <r>
      <rPr>
        <sz val="11"/>
        <color rgb="FF00B050"/>
        <rFont val="Calibri"/>
        <family val="2"/>
        <scheme val="minor"/>
      </rPr>
      <t/>
    </r>
  </si>
  <si>
    <t>8/30/16</t>
  </si>
  <si>
    <t>* PracticalPrintExercise - checker</t>
  </si>
  <si>
    <t>* PracticalRunExercise - checker</t>
  </si>
  <si>
    <t>Planning!J28</t>
  </si>
  <si>
    <t>Checklist!A118</t>
  </si>
  <si>
    <t>* make a checker method or something for checking code</t>
  </si>
  <si>
    <t>* PracticalPrintExercise - test</t>
  </si>
  <si>
    <t xml:space="preserve">* PracticalPrintExercise - fix the name of the method to main(String[] args) </t>
  </si>
  <si>
    <t>*make tempID for practical exercises for runtime compilation</t>
  </si>
  <si>
    <t>8/31/16</t>
  </si>
  <si>
    <t>Checklist!A123</t>
  </si>
  <si>
    <t>Planning!J29</t>
  </si>
  <si>
    <t>* fix PracticalPrintExercise -&gt; method should be fixed and main in Maker</t>
  </si>
  <si>
    <t>* methodName and className in PracticalPrintExercise should be fixed</t>
  </si>
  <si>
    <t>Checklist!A124</t>
  </si>
  <si>
    <t>Planning!J30</t>
  </si>
  <si>
    <t>* make serializable models and constructors  needed for: serialization, conversion, etc.</t>
  </si>
  <si>
    <t>* model -&gt; InputParameterSerializable</t>
  </si>
  <si>
    <t>* model -&gt; ReturnValidatorSerializable</t>
  </si>
  <si>
    <t>* constructor -&gt; InputParameterSerializable accepts InputParameter and vice versa</t>
  </si>
  <si>
    <t>* constructor -&gt; ReturnValidatorSerializable accepts ReturnValidator and vice versa</t>
  </si>
  <si>
    <t>* Practical Exercises -&gt; get from database using lid</t>
  </si>
  <si>
    <t>* Practical Exercises -&gt; get from database using title</t>
  </si>
  <si>
    <t>* Practical Exercises -&gt; get from database using tags exactly</t>
  </si>
  <si>
    <t>* Practical Exercises -&gt; get from database using tags contains</t>
  </si>
  <si>
    <t>Planning!J31</t>
  </si>
  <si>
    <t>Checklist!A132</t>
  </si>
  <si>
    <t>* finalize viewer and makers</t>
  </si>
  <si>
    <t>* finalize TextLesson -&gt; viewer</t>
  </si>
  <si>
    <t>* finalize VideoLesson -&gt; viewer</t>
  </si>
  <si>
    <t>* finalize QuizExercise -&gt; viewer</t>
  </si>
  <si>
    <t>* finalize QuizExercise -&gt; maker</t>
  </si>
  <si>
    <t>* finalize PracticalExercise -&gt; viewer</t>
  </si>
  <si>
    <t>* finalize PracticalExercise -&gt; maker</t>
  </si>
  <si>
    <t>* make Controllers class for calling viewers and makers (controllers should be loaded when program is started)</t>
  </si>
  <si>
    <t>* finalize LessonMaker -&gt; maker</t>
  </si>
  <si>
    <t>* fix addTag avoid duplicates (IMPORTANT)</t>
  </si>
  <si>
    <t>* FUTURE - load video lesson and text lesson views beforehand - those that contains inner controllers (not that important).</t>
  </si>
  <si>
    <t>Planning!J32</t>
  </si>
  <si>
    <t>Checklist!A145</t>
  </si>
  <si>
    <t>* fix level for integration with viewers</t>
  </si>
  <si>
    <t>* fix width and height to match parent when a viewer is inserted to level viewer</t>
  </si>
  <si>
    <t>Planning!J33</t>
  </si>
  <si>
    <t>Checklist!A146</t>
  </si>
  <si>
    <t>* fix exercises upload to database save whole serialized objects if possible for scalability</t>
  </si>
  <si>
    <t>* fix lessons upload to database save whole serialized objects if possible for scalability</t>
  </si>
  <si>
    <t>* exercises -&gt; remove unimportant columns</t>
  </si>
  <si>
    <t>* lessons -&gt; remove unimportant columns</t>
  </si>
  <si>
    <t>Cleaning up databases by storing serialized objects for scalability</t>
  </si>
  <si>
    <t>* exercises -&gt; add serialized object column</t>
  </si>
  <si>
    <t>* lessons -&gt; add serialized object column</t>
  </si>
  <si>
    <t>* ExerciseDatabase -&gt; change static methods</t>
  </si>
  <si>
    <t>* LessonDatabase -&gt; change static methods</t>
  </si>
  <si>
    <t>* User module -&gt; create the User model or class for history and profile</t>
  </si>
  <si>
    <t>Planning!J34</t>
  </si>
  <si>
    <t>Checklist!A152</t>
  </si>
  <si>
    <t>* User -&gt; history, event</t>
  </si>
  <si>
    <t>* User -&gt; level percentage -&gt; if exceeds then pass the level to unlock - NOT SURE</t>
  </si>
  <si>
    <t>* important add exam TAG to every exams</t>
  </si>
  <si>
    <t>* make an Exam class</t>
  </si>
  <si>
    <t>Planning!J35</t>
  </si>
  <si>
    <t>Checklist!A155</t>
  </si>
  <si>
    <t>* Exam</t>
  </si>
  <si>
    <t>* make an Exam database</t>
  </si>
  <si>
    <t>Apply to finalize version of controller</t>
  </si>
  <si>
    <t>* history -&gt; getLevelExamPercentage</t>
  </si>
  <si>
    <t>* user module -&gt; history get percentages</t>
  </si>
  <si>
    <t>QuizExerciseSerializable</t>
  </si>
  <si>
    <t>QuizItemSerializable</t>
  </si>
  <si>
    <t>User</t>
  </si>
  <si>
    <t>com.westlyf.user</t>
  </si>
  <si>
    <t>History</t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</si>
  <si>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rgb="FF00B05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= </t>
    </r>
    <r>
      <rPr>
        <sz val="11"/>
        <color rgb="FFC00000"/>
        <rFont val="Calibri"/>
        <family val="2"/>
        <scheme val="minor"/>
      </rPr>
      <t>0x101</t>
    </r>
    <r>
      <rPr>
        <sz val="11"/>
        <color rgb="FF00B050"/>
        <rFont val="Calibri"/>
        <family val="2"/>
        <scheme val="minor"/>
      </rPr>
      <t xml:space="preserve">
int</t>
    </r>
    <r>
      <rPr>
        <sz val="11"/>
        <color theme="1"/>
        <rFont val="Calibri"/>
        <family val="2"/>
        <scheme val="minor"/>
      </rPr>
      <t xml:space="preserve"> textLessonCounter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videoLessonCounter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quizExerciseCounter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practicalExerciseCounter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examCounter
</t>
    </r>
    <r>
      <rPr>
        <sz val="11"/>
        <color rgb="FF00B050"/>
        <rFont val="Calibri"/>
        <family val="2"/>
        <scheme val="minor"/>
      </rPr>
      <t>Level</t>
    </r>
    <r>
      <rPr>
        <sz val="11"/>
        <color theme="1"/>
        <rFont val="Calibri"/>
        <family val="2"/>
        <scheme val="minor"/>
      </rPr>
      <t xml:space="preserve"> currentLevel
</t>
    </r>
    <r>
      <rPr>
        <sz val="11"/>
        <color rgb="FF00B050"/>
        <rFont val="Calibri"/>
        <family val="2"/>
        <scheme val="minor"/>
      </rPr>
      <t>History</t>
    </r>
    <r>
      <rPr>
        <sz val="11"/>
        <color theme="1"/>
        <rFont val="Calibri"/>
        <family val="2"/>
        <scheme val="minor"/>
      </rPr>
      <t xml:space="preserve"> history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</si>
  <si>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theme="1"/>
        <rFont val="Calibri"/>
        <family val="2"/>
        <scheme val="minor"/>
      </rPr>
      <t xml:space="preserve"> = </t>
    </r>
    <r>
      <rPr>
        <sz val="11"/>
        <color rgb="FFC00000"/>
        <rFont val="Calibri"/>
        <family val="2"/>
        <scheme val="minor"/>
      </rPr>
      <t>0x012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ArrayList&lt;QuizItemSerializable&gt;</t>
    </r>
    <r>
      <rPr>
        <sz val="11"/>
        <color theme="1"/>
        <rFont val="Calibri"/>
        <family val="2"/>
        <scheme val="minor"/>
      </rPr>
      <t xml:space="preserve"> quizItems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</si>
  <si>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0x102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 xml:space="preserve">HashMap&lt;String, Event&gt; </t>
    </r>
    <r>
      <rPr>
        <sz val="11"/>
        <color theme="1"/>
        <rFont val="Calibri"/>
        <family val="2"/>
        <scheme val="minor"/>
      </rPr>
      <t xml:space="preserve">events
</t>
    </r>
    <r>
      <rPr>
        <sz val="11"/>
        <color rgb="FF00B050"/>
        <rFont val="Calibri"/>
        <family val="2"/>
        <scheme val="minor"/>
      </rPr>
      <t>HashMap&lt;String, LessonsLevel&gt;</t>
    </r>
    <r>
      <rPr>
        <sz val="11"/>
        <color theme="1"/>
        <rFont val="Calibri"/>
        <family val="2"/>
        <scheme val="minor"/>
      </rPr>
      <t xml:space="preserve"> lessonsLevels
</t>
    </r>
  </si>
  <si>
    <t>Event</t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</si>
  <si>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0x103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>final String</t>
    </r>
    <r>
      <rPr>
        <sz val="11"/>
        <color theme="1"/>
        <rFont val="Calibri"/>
        <family val="2"/>
        <scheme val="minor"/>
      </rPr>
      <t xml:space="preserve"> lessonId;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totalItems;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totalScores;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views;
</t>
    </r>
    <r>
      <rPr>
        <sz val="11"/>
        <color rgb="FF00B050"/>
        <rFont val="Calibri"/>
        <family val="2"/>
        <scheme val="minor"/>
      </rPr>
      <t>EventType</t>
    </r>
    <r>
      <rPr>
        <sz val="11"/>
        <color theme="1"/>
        <rFont val="Calibri"/>
        <family val="2"/>
        <scheme val="minor"/>
      </rPr>
      <t xml:space="preserve"> eventType;</t>
    </r>
  </si>
  <si>
    <t>* UserSampleMain - test</t>
  </si>
  <si>
    <t>* QuizViewer - exam</t>
  </si>
  <si>
    <t>* QuizMaker - exam</t>
  </si>
  <si>
    <t>Planning!J36</t>
  </si>
  <si>
    <t>* fix the getLevelExercisePercentage</t>
  </si>
  <si>
    <t>* QuizItem -&gt; identification * IMPORTANT</t>
  </si>
  <si>
    <t>Checklist!A161</t>
  </si>
  <si>
    <t>* QuizItem add identification
* Exercises -&gt; view correct answers</t>
  </si>
  <si>
    <t>* correct answer reason -&gt; * OPTIONAL</t>
  </si>
  <si>
    <t>* view student answer's and correct answers -&gt; PracticalExercise * IMPORTANT</t>
  </si>
  <si>
    <t>* view student answer's and correct answers -&gt; QuizExercise *IMPORTANT</t>
  </si>
  <si>
    <t>* Reinforcement KDB - *IMPORTANT</t>
  </si>
  <si>
    <t>Planning!J37</t>
  </si>
  <si>
    <t>Checklist!A167</t>
  </si>
  <si>
    <t>*Reinforcement Kdb</t>
  </si>
  <si>
    <t>* explanation -&gt; Exercise -&gt; pull from database</t>
  </si>
  <si>
    <t>* explanation -&gt; Exercise -&gt; push from database</t>
  </si>
  <si>
    <t>* explanation -&gt; Exercise -&gt; input from maker</t>
  </si>
  <si>
    <t>* explanation -&gt; Exercise -&gt; output to viewer</t>
  </si>
  <si>
    <t>* test explanation retrieval using all get by id, title, tags from different exercises</t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</si>
  <si>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  <r>
      <rPr>
        <sz val="11"/>
        <color rgb="FF00B050"/>
        <rFont val="Calibri"/>
        <family val="2"/>
        <scheme val="minor"/>
      </rPr>
      <t/>
    </r>
  </si>
  <si>
    <t>* add Right answer for PracticalExercises</t>
  </si>
  <si>
    <t>* isCorrect -&gt; quizItem for evaluation</t>
  </si>
  <si>
    <t>* QuizItem -&gt; method for showing which is answered by the user and which is correct</t>
  </si>
  <si>
    <t>Planning!J38</t>
  </si>
  <si>
    <t>Checklist!A173</t>
  </si>
  <si>
    <t>* IMPORANT - link user history with exercise viewers</t>
  </si>
  <si>
    <t>* QuizExercise - scoring and link with user history</t>
  </si>
  <si>
    <t>* evaluate score and add to user history -&gt; Practical</t>
  </si>
  <si>
    <t>* evaluate score and and add to user history -&gt; Exercise</t>
  </si>
  <si>
    <t>9/17/16</t>
  </si>
  <si>
    <t>Planning!J39</t>
  </si>
  <si>
    <t>Checklist!A175</t>
  </si>
  <si>
    <t>* Mix Video and PracticalExercise</t>
  </si>
  <si>
    <t>*New plan:
*New Exercise -&gt; Mix VideoLesson and PracticalExercise. Student can watch and code at the same time. Link the two tables together using lids
*New Exam -&gt;  Mix QuizExercise and PracticalExercise together</t>
  </si>
  <si>
    <t>9/18/16</t>
  </si>
  <si>
    <t>Planning!J40</t>
  </si>
  <si>
    <t>Checklist!A176</t>
  </si>
  <si>
    <t>* Make VideoPracticalExercise: mode, database, maker, viewer</t>
  </si>
  <si>
    <t>* VideoPracticalExercise -&gt; maker</t>
  </si>
  <si>
    <t>* VideoPracticalExercise -&gt; model</t>
  </si>
  <si>
    <t>* VideoPracticalExercise -&gt; database</t>
  </si>
  <si>
    <t>* VideoPracticalExercise -&gt; viewer</t>
  </si>
  <si>
    <t>* VideoPracticalExercise -&gt; Database -&gt; storeData</t>
  </si>
  <si>
    <t>* VideoPracticalExercise -&gt; Database -&gt; getUsingId</t>
  </si>
  <si>
    <t>* VideoPracticalExercise -&gt; Database -&gt; getUsingTitle</t>
  </si>
  <si>
    <t>* VideoPracticalExercise -&gt; Database -&gt; getUsingTagsContains</t>
  </si>
  <si>
    <t>* VideoPracticalExercise -&gt; Database -&gt; getUsingTagsExactly</t>
  </si>
  <si>
    <t>* VideoPracticalExercise -&gt; viewer -&gt; view</t>
  </si>
  <si>
    <t>* VideoPracticalExercise -&gt; viewer -&gt; getNode</t>
  </si>
  <si>
    <t>9/23/16</t>
  </si>
  <si>
    <t>Planning!J41</t>
  </si>
  <si>
    <t>* Exam - integrate to exam.fxml and test</t>
  </si>
  <si>
    <t>* TextLesson add html</t>
  </si>
  <si>
    <t>9/24/16</t>
  </si>
  <si>
    <t>* Exam -&gt; using Exam.fxml integrate</t>
  </si>
  <si>
    <t>* Level -&gt; view html when TextLesson using WebView</t>
  </si>
  <si>
    <t>* TextLesson -&gt; replace TextArea in maker with HtmlEditor - Sample test -&gt; TextLessonHtmlViewerMain</t>
  </si>
  <si>
    <t>* Exam -&gt; make an exam maker for making only choices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</si>
  <si>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explanation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hint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</si>
  <si>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 </t>
    </r>
    <r>
      <rPr>
        <sz val="11"/>
        <color rgb="FFC00000"/>
        <rFont val="Calibri"/>
        <family val="2"/>
        <scheme val="minor"/>
      </rPr>
      <t>0x011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 xml:space="preserve">int </t>
    </r>
    <r>
      <rPr>
        <sz val="11"/>
        <rFont val="Calibri"/>
        <family val="2"/>
        <scheme val="minor"/>
      </rPr>
      <t>points</t>
    </r>
    <r>
      <rPr>
        <sz val="11"/>
        <color theme="1"/>
        <rFont val="Calibri"/>
        <family val="2"/>
        <scheme val="minor"/>
      </rPr>
      <t xml:space="preserve">
 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hint</t>
    </r>
  </si>
  <si>
    <t>com.westlyf.domain.exercise.practical</t>
  </si>
  <si>
    <t>CGroup</t>
  </si>
  <si>
    <t>Cstring</t>
  </si>
  <si>
    <t>CGroupSerializable</t>
  </si>
  <si>
    <t>CStringSerializable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</si>
  <si>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equivalents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tip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</si>
  <si>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0x202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equivalents
</t>
    </r>
    <r>
      <rPr>
        <sz val="11"/>
        <color rgb="FF00B050"/>
        <rFont val="Calibri"/>
        <family val="2"/>
        <scheme val="minor"/>
      </rPr>
      <t>String</t>
    </r>
    <r>
      <rPr>
        <sz val="11"/>
        <rFont val="Calibri"/>
        <family val="2"/>
        <scheme val="minor"/>
      </rPr>
      <t xml:space="preserve"> tip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</si>
  <si>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0x201
</t>
    </r>
    <r>
      <rPr>
        <sz val="11"/>
        <color rgb="FF00B050"/>
        <rFont val="Calibri"/>
        <family val="2"/>
        <scheme val="minor"/>
      </rPr>
      <t>ArrayList&lt;CStringSerializable&gt;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cStrings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</si>
  <si>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ArrayList&lt;CString&gt;</t>
    </r>
    <r>
      <rPr>
        <sz val="11"/>
        <color theme="1"/>
        <rFont val="Calibri"/>
        <family val="2"/>
        <scheme val="minor"/>
      </rPr>
      <t xml:space="preserve"> cStrings</t>
    </r>
    <r>
      <rPr>
        <sz val="11"/>
        <color rgb="FF00B050"/>
        <rFont val="Calibri"/>
        <family val="2"/>
        <scheme val="minor"/>
      </rPr>
      <t/>
    </r>
  </si>
  <si>
    <t>ToTest</t>
  </si>
  <si>
    <t>Type</t>
  </si>
  <si>
    <t>Error</t>
  </si>
  <si>
    <t>Fixed</t>
  </si>
  <si>
    <t>VideoPracticalExercise -&gt; Module 1 Lesson 1</t>
  </si>
  <si>
    <t>VideoPracticalExercise -&gt; Module 1 Lesson 2</t>
  </si>
  <si>
    <t>VideoPracticalExercise -&gt; Module 1 Lesson 3</t>
  </si>
  <si>
    <t>VideoPracticalExercise -&gt; Module 1 Lesson 4</t>
  </si>
  <si>
    <t>VideoPracticalExercise -&gt; Module 2 Lesson 1</t>
  </si>
  <si>
    <t>VideoPracticalExercise -&gt; Module 2 Lesson 2</t>
  </si>
  <si>
    <t>VideoPracticalExercise -&gt; Module 2 Lesson 4</t>
  </si>
  <si>
    <t>VideoPracticalExercise -&gt; Module 2 Lesson 5</t>
  </si>
  <si>
    <t>VideoPracticalExercise -&gt; Module 2 Lesson 6</t>
  </si>
  <si>
    <t>Summary Tests</t>
  </si>
  <si>
    <t>Summary</t>
  </si>
  <si>
    <t>VideoPracticalExercise -&gt; Module 3 Lesson 1</t>
  </si>
  <si>
    <t>VideoPracticalExercise -&gt; Module 3 Lesson 2</t>
  </si>
  <si>
    <t>VideoPracticalExercise -&gt; Module 3 Lesson 3</t>
  </si>
  <si>
    <t>VideoPracticalExercise -&gt; Module 3 Lesson 4</t>
  </si>
  <si>
    <t>VideoPracticalExercise -&gt; Module 3 Lesson 5</t>
  </si>
  <si>
    <t>VideoPracticalExercise -&gt; Module 4 Lesson 1</t>
  </si>
  <si>
    <t>VideoPracticalExercise -&gt; Module 4 Lesson 2</t>
  </si>
  <si>
    <t>VideoPracticalExercise -&gt; Module 4 Lesson 3</t>
  </si>
  <si>
    <t>VideoPracticalExercise -&gt; Module 4 Lesson 4</t>
  </si>
  <si>
    <t>VideoPracticalExercise -&gt; Module 4 Lesson 5</t>
  </si>
  <si>
    <t>VideoPracticalExercise -&gt; Module 4 Lesson 6</t>
  </si>
  <si>
    <t>VideoPracticalExercise -&gt; Module 5 Lesson 1</t>
  </si>
  <si>
    <t>VideoPracticalExercise -&gt; Module 5 Lesson 2</t>
  </si>
  <si>
    <t>VideoPracticalExercise -&gt; Module 5 Lesson 3</t>
  </si>
  <si>
    <t>VideoPracticalExercise -&gt; Module 5 Lesson 4</t>
  </si>
  <si>
    <t>VideoPracticalExercise -&gt; Module 5 Lesson 5</t>
  </si>
  <si>
    <t>Optional make instructions clearer.</t>
  </si>
  <si>
    <t>VideoPracticalExercise -&gt; Module 6 Lesson 1</t>
  </si>
  <si>
    <t>VideoPracticalExercise -&gt; Module 6 Lesson 2</t>
  </si>
  <si>
    <t>VideoPracticalExercise -&gt; Module 6 Lesson 3</t>
  </si>
  <si>
    <t>VideoPracticalExercise -&gt; Module 6 Lesson 4</t>
  </si>
  <si>
    <t>VideoPracticalExercise -&gt; Module 6 Lesson 5</t>
  </si>
  <si>
    <t>VideoPracticalExercise -&gt; Module 6 Lesson 6</t>
  </si>
  <si>
    <t>VideoPracticalExercise -&gt; Module 6 Lesson 8</t>
  </si>
  <si>
    <t>VideoPracticalExercise -&gt; Module 7 Lesson 1</t>
  </si>
  <si>
    <t>VideoPracticalExercise -&gt; Module 7 Lesson 2</t>
  </si>
  <si>
    <t>VideoPracticalExercise -&gt; Module 7 Lesson 3</t>
  </si>
  <si>
    <t>VideoPracticalExercise -&gt; Module 7 Lesson 5</t>
  </si>
  <si>
    <r>
      <rPr>
        <b/>
        <u/>
        <sz val="11"/>
        <color theme="6" tint="-0.249977111117893"/>
        <rFont val="Calibri"/>
        <family val="2"/>
        <scheme val="minor"/>
      </rPr>
      <t>DID NOT CHANGE ANYMORE</t>
    </r>
    <r>
      <rPr>
        <sz val="11"/>
        <color theme="6" tint="-0.249977111117893"/>
        <rFont val="Calibri"/>
        <family val="2"/>
        <scheme val="minor"/>
      </rPr>
      <t xml:space="preserve"> - optional </t>
    </r>
    <r>
      <rPr>
        <u/>
        <sz val="11"/>
        <color theme="6" tint="-0.249977111117893"/>
        <rFont val="Calibri"/>
        <family val="2"/>
        <scheme val="minor"/>
      </rPr>
      <t>Change Practical Exercise</t>
    </r>
    <r>
      <rPr>
        <sz val="11"/>
        <color theme="6" tint="-0.249977111117893"/>
        <rFont val="Calibri"/>
        <family val="2"/>
        <scheme val="minor"/>
      </rPr>
      <t>. Add Cstring to see if he or she changed the variable</t>
    </r>
  </si>
  <si>
    <t>Load System</t>
  </si>
  <si>
    <t>Load splash -&gt; Load some GUI</t>
  </si>
  <si>
    <t>Create New Profile -&gt; Validation</t>
  </si>
  <si>
    <t>Username: wrong alert 
-&gt; when there is space the message is "must be 4 characters long".
-&gt;should be: "no spaces are allowed"</t>
  </si>
  <si>
    <t>Create New Profile -&gt; page</t>
  </si>
  <si>
    <t>About -&gt; page</t>
  </si>
  <si>
    <t>Sign up -&gt; page</t>
  </si>
  <si>
    <t>Sign in -&gt; page</t>
  </si>
  <si>
    <t>Create New Profile -&gt; push to database</t>
  </si>
  <si>
    <t>Settings -&gt; page</t>
  </si>
  <si>
    <t>Sign in -&gt; database compare and validate</t>
  </si>
  <si>
    <t>Sign out -&gt; clean session</t>
  </si>
  <si>
    <t>Sign in -&gt; load important viewers *** that will be used overtime</t>
  </si>
  <si>
    <t xml:space="preserve">Sign out -&gt; page </t>
  </si>
  <si>
    <t>Main page -&gt; locked buttons</t>
  </si>
  <si>
    <t>Main page -&gt; unlocked grades if finished ….</t>
  </si>
  <si>
    <t>Main page -&gt; unlocked challenge if finished …</t>
  </si>
  <si>
    <t>Main page -&gt; unlocked exams if finished …</t>
  </si>
  <si>
    <t>Main page -&gt; Learn page -&gt; unlocked and see page when clicked</t>
  </si>
  <si>
    <t>Learn page -&gt; 1st module unlocked</t>
  </si>
  <si>
    <t>Different modules should be locked when not finished</t>
  </si>
  <si>
    <t>PracticalReturnExercise -&gt; Challenge -Linear Search</t>
  </si>
  <si>
    <t>PracticalReturnExercise -&gt; Challenge -Factorial</t>
  </si>
  <si>
    <t>PracticalReturnExercise -&gt; Challenge - Fibonacci</t>
  </si>
  <si>
    <t>PracticalReturnExercise -&gt; Challenge - Odd or Even</t>
  </si>
  <si>
    <t>PracticalReturnExercise -&gt; Challenge - Factorial</t>
  </si>
  <si>
    <t>PracticalReturnExercise -&gt; Challenge - Bubble Sort</t>
  </si>
  <si>
    <t>PracticalReturnExercise -&gt; Challenge - Binary Search</t>
  </si>
  <si>
    <t>PracticalReturnExercise -&gt; Challenge - Power</t>
  </si>
  <si>
    <t>PracticalReturnExercise -&gt; Challenge - Palindrome</t>
  </si>
  <si>
    <t>Test TEXT LESSON if working Module 1 Lesson 1</t>
  </si>
  <si>
    <t>Test TEXT LESSON if working Module 1 Lesson 2</t>
  </si>
  <si>
    <t>Test TEXT LESSON if working Module 1 Lesson 3</t>
  </si>
  <si>
    <t>Test TEXT LESSON if working Module 1 Lesson 4</t>
  </si>
  <si>
    <t>Test TEXT LESSON if working Module 1 Lesson 5</t>
  </si>
  <si>
    <t>Test TEXT LESSON if working Module 1 Lesson 6</t>
  </si>
  <si>
    <t>Test EXERCISE if working Module 1 Lesson 1</t>
  </si>
  <si>
    <t>Test EXERCISE if working Module 1 Lesson 2</t>
  </si>
  <si>
    <t>Test EXERCISE if working Module 1 Lesson 3</t>
  </si>
  <si>
    <t>Test EXERCISE if working Module 1 Lesson 4</t>
  </si>
  <si>
    <t xml:space="preserve">Test EXERCISE (NO EXERCISE) if working Module 1 Lesson 5
</t>
  </si>
  <si>
    <t>Data Tested</t>
  </si>
  <si>
    <t>10/30/16</t>
  </si>
  <si>
    <t>Date Fixed Errors</t>
  </si>
  <si>
    <t>10 tries NEUTRAL - every 10 seconds</t>
  </si>
  <si>
    <t>10 tries ANXIOUS - every 10 seconds</t>
  </si>
  <si>
    <t>10/31/16</t>
  </si>
  <si>
    <t>Error: Not that efficient, sometimes my anxious face is neutral to the FER</t>
  </si>
  <si>
    <t>After creating new profile:
-&gt; then go directly to home then error comes in no change in scenes
-&gt; need to logout first before it works</t>
  </si>
  <si>
    <t>Test TEXT LESSON if working Module 2 Lesson 1</t>
  </si>
  <si>
    <t>Module 1 Exam unlocked after finishing all exercises</t>
  </si>
  <si>
    <t>Optional: feels like every face I make is neutral</t>
  </si>
  <si>
    <t>no lesson 5 in module 1 anymore. this is removed</t>
  </si>
  <si>
    <t>Error: 
-&gt; After unlocking exam go into Lesson page module 1 and the links doubles or just appends the list so its like a clone of every lesson numbers</t>
  </si>
  <si>
    <t>Test Exam Module 1 if working -&gt; page</t>
  </si>
  <si>
    <t>Test Exam Module 1 if working -&gt; logic</t>
  </si>
  <si>
    <t>Error: 
-&gt; Clickable but does not redirect to page on some accounts. Minor bugs?</t>
  </si>
  <si>
    <t>Module 2 unlocked after submitting Exam -&gt; page</t>
  </si>
  <si>
    <t>Module 2 unlocked after submitting Exam -&gt; logic</t>
  </si>
  <si>
    <t>Grade results in grade -&gt; page</t>
  </si>
  <si>
    <t>Grade results in grade -&gt; logic</t>
  </si>
  <si>
    <t>Test TEXT LESSON if working Module 2 Lesson 2</t>
  </si>
  <si>
    <t>Test TEXT LESSON if working Module 2 Lesson 3</t>
  </si>
  <si>
    <t>Test TEXT LESSON if working Module 2 Lesson 4</t>
  </si>
  <si>
    <t>Test TEXT LESSON if working Module 2 Lesson 5</t>
  </si>
  <si>
    <t>Test TEXT LESSON if working Module 2 Lesson 6</t>
  </si>
  <si>
    <t>Module 2 Lesson 2 unlocked after exercise 1</t>
  </si>
  <si>
    <t>Practical Exercise Viewers -&gt; Output TextArea</t>
  </si>
  <si>
    <t>Error:
-&gt; The output stream is not cleared and is set on next practical exercise</t>
  </si>
  <si>
    <t>Module 2 Lesson 3 unlocked after exercise 2</t>
  </si>
  <si>
    <t>Module 2 Lesson 4 unlocked -&gt; No exercise</t>
  </si>
  <si>
    <t>Module 2 Lesson 5 unlocked after exercise 4</t>
  </si>
  <si>
    <t>Module 2 Lesson 6 unlocked after exercise 5</t>
  </si>
  <si>
    <t>Module 2 Exam unlocked after exerise 6</t>
  </si>
  <si>
    <t>Test TEXT LESSON if working Module 3 Lesson 1</t>
  </si>
  <si>
    <t>Test TEXT LESSON if working Module 3 Lesson 2</t>
  </si>
  <si>
    <t>Test TEXT LESSON if working Module 3 Lesson 3</t>
  </si>
  <si>
    <t>Module 3 Lesson 3 unlocked after exercise 2</t>
  </si>
  <si>
    <t>Module 3 Lesson 2 unlocked after exercise 1</t>
  </si>
  <si>
    <t>Module 3 Lesson 4 unlocked after exercise 3</t>
  </si>
  <si>
    <t>Optional: x = y Cstring for swapping for tip</t>
  </si>
  <si>
    <t>Test TEXT LESSON if working Module 3 Lesson 4</t>
  </si>
  <si>
    <t>Module 3 Lesson 5 unlocked after exercise 4</t>
  </si>
  <si>
    <t>Test TEXT LESSON if working Module 3 Lesson 5</t>
  </si>
  <si>
    <t>Module 3 Lesson 6 unlocked after exercise 5</t>
  </si>
  <si>
    <t>Test TEXT LESSON if working Module 3 Lesson 6</t>
  </si>
  <si>
    <t>Module 3 Exam unlocked after Lesson 6</t>
  </si>
  <si>
    <t>Module 3 Exam -&gt; display</t>
  </si>
  <si>
    <t>Module 3 Exam -&gt; logic</t>
  </si>
  <si>
    <t>Module 4 is unlocked after Exam</t>
  </si>
  <si>
    <t>Module 3 lesson unlocked after module 2 exam</t>
  </si>
  <si>
    <t>ERROR:
-&gt; should not unlock cause I got zero in the exam. My grades are all failing and yet Im on module 4 already</t>
  </si>
  <si>
    <t>Finishing an Exercise -&gt; do not submit  and just close</t>
  </si>
  <si>
    <t>BlackBox</t>
  </si>
  <si>
    <t>GrayBox</t>
  </si>
  <si>
    <t>WhiteBox</t>
  </si>
  <si>
    <t>ERROR:
-&gt;on close not called save and submit</t>
  </si>
  <si>
    <t>Error: 
-&gt; Cannot go into lesson 6 and no way of unlocking. 
-&gt; Exercise 4 just pops up on lesson 5</t>
  </si>
  <si>
    <r>
      <t xml:space="preserve">Error: 
-&gt; Expected </t>
    </r>
    <r>
      <rPr>
        <b/>
        <sz val="11"/>
        <color rgb="FF7030A0"/>
        <rFont val="Calibri"/>
        <family val="2"/>
        <scheme val="minor"/>
      </rPr>
      <t>no exercise on Lesson 5 of Module 1</t>
    </r>
    <r>
      <rPr>
        <sz val="11"/>
        <color rgb="FF7030A0"/>
        <rFont val="Calibri"/>
        <family val="2"/>
        <scheme val="minor"/>
      </rPr>
      <t xml:space="preserve"> but the </t>
    </r>
    <r>
      <rPr>
        <b/>
        <sz val="11"/>
        <color rgb="FF7030A0"/>
        <rFont val="Calibri"/>
        <family val="2"/>
        <scheme val="minor"/>
      </rPr>
      <t>exercise for Lesson 4 pops up</t>
    </r>
  </si>
  <si>
    <t>Exam failed -&gt; must be able to take exam again</t>
  </si>
  <si>
    <t>ERROR:
-&gt; cannot retake exam after failing it</t>
  </si>
  <si>
    <r>
      <t xml:space="preserve">Error: 
</t>
    </r>
    <r>
      <rPr>
        <b/>
        <sz val="11"/>
        <color rgb="FF7030A0"/>
        <rFont val="Calibri"/>
        <family val="2"/>
        <scheme val="minor"/>
      </rPr>
      <t xml:space="preserve">WRONG MODULE </t>
    </r>
    <r>
      <rPr>
        <sz val="11"/>
        <color rgb="FF7030A0"/>
        <rFont val="Calibri"/>
        <family val="2"/>
        <scheme val="minor"/>
      </rPr>
      <t xml:space="preserve">-&gt; I went to lesson1 and finished an exercise after that the exam became module 1 it should be module 2 and </t>
    </r>
    <r>
      <rPr>
        <b/>
        <sz val="11"/>
        <color rgb="FF7030A0"/>
        <rFont val="Calibri"/>
        <family val="2"/>
        <scheme val="minor"/>
      </rPr>
      <t>EVEN AFTER I FAILED MODULE 3 LESSONS WERE UNLOCKED</t>
    </r>
    <r>
      <rPr>
        <sz val="11"/>
        <color rgb="FF7030A0"/>
        <rFont val="Calibri"/>
        <family val="2"/>
        <scheme val="minor"/>
      </rPr>
      <t>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</si>
  <si>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Make it accept anything. Use "" in the print validator to check if Contains("") to return always true.</t>
    </r>
  </si>
  <si>
    <r>
      <t xml:space="preserve">The </t>
    </r>
    <r>
      <rPr>
        <u/>
        <sz val="11"/>
        <color rgb="FF7030A0"/>
        <rFont val="Calibri"/>
        <family val="2"/>
        <scheme val="minor"/>
      </rPr>
      <t>video is wrong not match with the instructions in exercise</t>
    </r>
    <r>
      <rPr>
        <sz val="11"/>
        <color rgb="FF7030A0"/>
        <rFont val="Calibri"/>
        <family val="2"/>
        <scheme val="minor"/>
      </rPr>
      <t>.
It should be
System.out.println();
System.out.println();
System.out.print() / println();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</si>
  <si>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Make it read a single // comment or /**/ to succeed in the next lesson.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</si>
  <si>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Avoid cheating by using Cstring</t>
    </r>
  </si>
  <si>
    <r>
      <rPr>
        <u/>
        <sz val="11"/>
        <color rgb="FF7030A0"/>
        <rFont val="Calibri"/>
        <family val="2"/>
        <scheme val="minor"/>
      </rPr>
      <t>Change Video or Instruction in Practical Exercise</t>
    </r>
    <r>
      <rPr>
        <sz val="11"/>
        <color rgb="FF7030A0"/>
        <rFont val="Calibri"/>
        <family val="2"/>
        <scheme val="minor"/>
      </rPr>
      <t>.
Error: "This is my number 44..." -&gt; This is number 44…".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</si>
  <si>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Output did not match. The modulo operator not checked by Cstring.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</si>
  <si>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 xml:space="preserve">. Make sure to do Cstring with and without parentheses for checking ternary operators. Also </t>
    </r>
    <r>
      <rPr>
        <b/>
        <sz val="11"/>
        <color rgb="FF7030A0"/>
        <rFont val="Calibri"/>
        <family val="2"/>
        <scheme val="minor"/>
      </rPr>
      <t>WRONG CODE</t>
    </r>
    <r>
      <rPr>
        <sz val="11"/>
        <color rgb="FF7030A0"/>
        <rFont val="Calibri"/>
        <family val="2"/>
        <scheme val="minor"/>
      </rPr>
      <t xml:space="preserve"> entered in </t>
    </r>
    <r>
      <rPr>
        <b/>
        <sz val="11"/>
        <color rgb="FF7030A0"/>
        <rFont val="Calibri"/>
        <family val="2"/>
        <scheme val="minor"/>
      </rPr>
      <t>PRATICAL EXERCISE</t>
    </r>
  </si>
  <si>
    <r>
      <rPr>
        <u/>
        <sz val="11"/>
        <color rgb="FF7030A0"/>
        <rFont val="Calibri"/>
        <family val="2"/>
        <scheme val="minor"/>
      </rPr>
      <t>Change Video Lesson</t>
    </r>
    <r>
      <rPr>
        <sz val="11"/>
        <color rgb="FF7030A0"/>
        <rFont val="Calibri"/>
        <family val="2"/>
        <scheme val="minor"/>
      </rPr>
      <t xml:space="preserve">. Not zoomed in. Also fix the video cause 0 % 6 == 0 will be true cause any number is divisible by 0. but the range is 1-40 not including </t>
    </r>
    <r>
      <rPr>
        <b/>
        <sz val="11"/>
        <color rgb="FF7030A0"/>
        <rFont val="Calibri"/>
        <family val="2"/>
        <scheme val="minor"/>
      </rPr>
      <t>ZERO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</si>
  <si>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Doesn't recognize System.out.println(numberSum(6,9)); by the Cstring</t>
    </r>
  </si>
  <si>
    <t>10/30/2016</t>
  </si>
  <si>
    <r>
      <rPr>
        <b/>
        <u/>
        <sz val="11"/>
        <color rgb="FF7030A0"/>
        <rFont val="Calibri"/>
        <family val="2"/>
        <scheme val="minor"/>
      </rPr>
      <t>Fix notes for code</t>
    </r>
    <r>
      <rPr>
        <sz val="11"/>
        <color rgb="FF7030A0"/>
        <rFont val="Calibri"/>
        <family val="2"/>
        <scheme val="minor"/>
      </rPr>
      <t>: I put  examController.startTimer(); 
inside UserController class 
inside openExam() method
----------------------------------------------
ExamChoicesOnlyViewerController:
-&gt; Starts timer on load
-&gt; Should only start when user started exam</t>
    </r>
  </si>
  <si>
    <t>ERROR:
-&gt; already on the last item and cannot go backs. No choices also. After submission I got zero and the timer looks like already started a while ago.</t>
  </si>
  <si>
    <t>Exam module 1 - Set C 0&gt; questions and choices</t>
  </si>
  <si>
    <t>ERROR:
-&gt; Wrong input about class and main</t>
  </si>
  <si>
    <t>ERROR:
-&gt; grades duplicate -&gt; after taking some exams</t>
  </si>
  <si>
    <t>Exam -&gt; choices in exam retake</t>
  </si>
  <si>
    <t>ERROR:
-&gt; stores the previous answer before retake</t>
  </si>
  <si>
    <t>Grade -&gt; grades labels</t>
  </si>
  <si>
    <t>Grade -&gt; grades -&gt; values</t>
  </si>
  <si>
    <t>ERROR:
-&gt; no% in average percentages per module</t>
  </si>
  <si>
    <t>Exam -&gt; module 2 set B -&gt; questions and choices</t>
  </si>
  <si>
    <t>ERROR:
-&gt; wrong question and answer
-&gt; about: valid declaration of variable</t>
  </si>
  <si>
    <t>Test TEXT LESSON if working Module 4 Lesson 1</t>
  </si>
  <si>
    <t>Module 4 Lesson 2 unlocked after exercise 1</t>
  </si>
  <si>
    <t>Test TEXT LESSON if working Module 4 Lesson 2</t>
  </si>
  <si>
    <t>Module 4 Lesson 3 unlocked after exercise 2</t>
  </si>
  <si>
    <t>Test TEXT LESSON if working Module 4 Lesson 3</t>
  </si>
  <si>
    <t>Module 4 Lesson 4 unlocked after exercise 3</t>
  </si>
  <si>
    <t>Module 4 Lesson 5 unlocked after exercise 4</t>
  </si>
  <si>
    <t>Test TEXT LESSON if working Module 4 Lesson 4</t>
  </si>
  <si>
    <t>Test TEXT LESSON if working Module 4 Lesson 5</t>
  </si>
  <si>
    <t>Module 4 Lesson 6 unlocked after exercise 5</t>
  </si>
  <si>
    <t>Test TEXT LESSON if working Module 4 Lesson 6</t>
  </si>
  <si>
    <t>Module 4 Exam submission -&gt; fail</t>
  </si>
  <si>
    <t>ERROR:
-&gt; should be: Both are True!
-&gt; comments when checking Cstring</t>
  </si>
  <si>
    <t>Module 4 EXAM unlocked after TEXT LESSON 7 no exercise In this lesson</t>
  </si>
  <si>
    <t>Module 4 Lesson 7 unlocked after exercise 6</t>
  </si>
  <si>
    <t>Test TEXT LESSON if working Module 4 Lesson 7</t>
  </si>
  <si>
    <t>ERROR:
-&gt; TEXT LESSONS gets UNLOCKED by WRONG EXERCISES</t>
  </si>
  <si>
    <t>Module 4 Exam submission -&gt; pass -&gt; unlock module 5</t>
  </si>
  <si>
    <t>Test TEXT LESSON if working Module 5 Lesson 1</t>
  </si>
  <si>
    <t>Module 5 Lesson 2 unlocked after exercise 1</t>
  </si>
  <si>
    <t>Module 5 Exam - Set C</t>
  </si>
  <si>
    <t>Challenge page -&gt; working</t>
  </si>
  <si>
    <t>ERROR:
-&gt; go in and out of page then you see the list of challenges disappear</t>
  </si>
  <si>
    <t>Challenge page -&gt; open a link to one of challenges</t>
  </si>
  <si>
    <t>ERROR
-&gt; it says root is used in multiple scenes</t>
  </si>
  <si>
    <t>Module 5 Exam - Set B</t>
  </si>
  <si>
    <t>ERROR: 
-&gt; question: What is the output of the following?
-&gt;System.out.print("Hello") : choices are all numbers</t>
  </si>
  <si>
    <t>ERROR:
-&gt; question: myArray.length 
-&gt;should be : I &lt; myArray.length in the for loop</t>
  </si>
  <si>
    <t>ERROR:
-&gt; lowercase default and case keywords in instructions</t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</si>
  <si>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The name of the method should be "myHelloWorld "</t>
    </r>
  </si>
  <si>
    <t>Grades are open and accessible</t>
  </si>
  <si>
    <t>analytics / grades</t>
  </si>
  <si>
    <r>
      <t xml:space="preserve">ERROR:
-&gt; gets </t>
    </r>
    <r>
      <rPr>
        <b/>
        <sz val="11"/>
        <color rgb="FF7030A0"/>
        <rFont val="Calibri"/>
        <family val="2"/>
        <scheme val="minor"/>
      </rPr>
      <t>TEXT LESSONS</t>
    </r>
    <r>
      <rPr>
        <sz val="11"/>
        <color rgb="FF7030A0"/>
        <rFont val="Calibri"/>
        <family val="2"/>
        <scheme val="minor"/>
      </rPr>
      <t xml:space="preserve"> gets </t>
    </r>
    <r>
      <rPr>
        <b/>
        <sz val="11"/>
        <color rgb="FF7030A0"/>
        <rFont val="Calibri"/>
        <family val="2"/>
        <scheme val="minor"/>
      </rPr>
      <t>UNLOCKED</t>
    </r>
    <r>
      <rPr>
        <sz val="11"/>
        <color rgb="FF7030A0"/>
        <rFont val="Calibri"/>
        <family val="2"/>
        <scheme val="minor"/>
      </rPr>
      <t xml:space="preserve"> by </t>
    </r>
    <r>
      <rPr>
        <b/>
        <u/>
        <sz val="11"/>
        <color rgb="FF7030A0"/>
        <rFont val="Calibri"/>
        <family val="2"/>
        <scheme val="minor"/>
      </rPr>
      <t xml:space="preserve">WRONG EXERCISES
</t>
    </r>
    <r>
      <rPr>
        <sz val="11"/>
        <color rgb="FF7030A0"/>
        <rFont val="Calibri"/>
        <family val="2"/>
        <scheme val="minor"/>
      </rPr>
      <t>-&gt; module 4 gets unlocked by exercise 2 after submitting it 2 times
-&gt; module 5 gets unlocked by exercise 3 after submitting it 2 times
-&gt; and so on….</t>
    </r>
  </si>
  <si>
    <t xml:space="preserve">Module 5 exam -&gt; submit </t>
  </si>
  <si>
    <t>ERROR:
-&gt; module 5 - no next lesson errors upon submission of exam -&gt; grades gets duplicated by how many times you pressed the submit button</t>
  </si>
  <si>
    <t>OPTIONAL:
-&gt; should have or should not have submit button? -&gt; the submit button is unclickable as of now and need to click the x button to close the window which produces an alert: "Are you sure? All changes will not be saved"</t>
  </si>
  <si>
    <t>Challenges -&gt; Practical Return Exercise window</t>
  </si>
  <si>
    <t>ResultController -&gt; display</t>
  </si>
  <si>
    <t>ERROR:
-&gt; error in points</t>
  </si>
  <si>
    <t>Challenges -&gt; Practical Return Exercise codeTextArea</t>
  </si>
  <si>
    <t>ERROR:
-&gt; when correct -&gt; code is replaced by the correct exercise when new exercise is opened
-&gt; not editable textarea after reloading the Practical Return Exercise window</t>
  </si>
  <si>
    <t>EXAM -&gt; FER -&gt; check if working as background task</t>
  </si>
  <si>
    <t>EXAM -&gt; FER -&gt; give hint to particular item</t>
  </si>
  <si>
    <t>ERROR:
-&gt; video not fit with the window</t>
  </si>
  <si>
    <t>Module 1 Exercise 3 -&gt; video</t>
  </si>
  <si>
    <t>Exam -&gt; Module 1 Test -&gt; Set B</t>
  </si>
  <si>
    <t>Exam -&gt; Module 1 Test -&gt; Set A</t>
  </si>
  <si>
    <t>Exam -&gt; Module 1 Test -&gt; Set C</t>
  </si>
  <si>
    <t>Exam -&gt; Module 2 Test -&gt; Set C</t>
  </si>
  <si>
    <t>Exam -&gt; Module 2 Test -&gt; Set A</t>
  </si>
  <si>
    <t>Exam -&gt; Module 2 Test -&gt; Set B</t>
  </si>
  <si>
    <t>Exam -&gt; Module 3 Test -&gt; Set A</t>
  </si>
  <si>
    <t>Exam -&gt; Module 3 Test -&gt; Set B</t>
  </si>
  <si>
    <t>Exam -&gt; Module 3 Test -&gt; Set C</t>
  </si>
  <si>
    <t>Exam -&gt; Module 4 Test -&gt; Set A</t>
  </si>
  <si>
    <t>Exam -&gt; Module 4 Test -&gt; Set B</t>
  </si>
  <si>
    <t>Exam -&gt; Module 4 Test -&gt; Set C</t>
  </si>
  <si>
    <t>Exam -&gt; Module 5 Test -&gt; Set A</t>
  </si>
  <si>
    <t>Exam -&gt; Module 5 Test -&gt; Set B</t>
  </si>
  <si>
    <t>Exam -&gt; Module 5 Test -&gt; Set C</t>
  </si>
  <si>
    <t>Exam -&gt; Module 6 Test -&gt; Set A</t>
  </si>
  <si>
    <t>Exam -&gt; Module 6 Test -&gt; Set B</t>
  </si>
  <si>
    <t>Exam -&gt; Module 6 Test -&gt; Set C</t>
  </si>
  <si>
    <t>ERROR:
-&gt; Limit of grade should change on retakes. Should be parabolic</t>
  </si>
  <si>
    <t>Exam -&gt; grades</t>
  </si>
  <si>
    <t>ExamChoicesOnlyViewer -&gt; timer</t>
  </si>
  <si>
    <t>ERROR:
-&gt; timer and method to run is not on same thread</t>
  </si>
  <si>
    <t>ExamChoicesOnlyViewer -&gt; Exam Exercise</t>
  </si>
  <si>
    <t>ERROR:
-&gt; After the timer has stopped, examExercise will pop up. After closing the exercise you can still continue answering the multiple choices even though it should exit already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</si>
</sst>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strike/>
      <sz val="9"/>
      <color rgb="FFC00000"/>
      <name val="Calibri"/>
      <family val="2"/>
      <scheme val="minor"/>
    </font>
    <font>
      <sz val="9"/>
      <color theme="6" tint="-0.249977111117893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3" tint="-0.499984740745262"/>
      <name val="Calibri"/>
      <family val="2"/>
      <scheme val="minor"/>
    </font>
    <font>
      <sz val="11"/>
      <color theme="4" tint="0.59999389629810485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5" tint="0.59999389629810485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sz val="11"/>
      <color theme="9" tint="0.74999237037263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u/>
      <sz val="11"/>
      <color theme="0"/>
      <name val="Calibri"/>
      <family val="2"/>
      <scheme val="minor"/>
    </font>
    <font>
      <u/>
      <sz val="11"/>
      <color theme="6" tint="-0.249977111117893"/>
      <name val="Calibri"/>
      <family val="2"/>
      <scheme val="minor"/>
    </font>
    <font>
      <b/>
      <u/>
      <sz val="11"/>
      <color theme="6" tint="-0.249977111117893"/>
      <name val="Calibri"/>
      <family val="2"/>
      <scheme val="minor"/>
    </font>
    <font>
      <b/>
      <u/>
      <sz val="11"/>
      <color rgb="FF7030A0"/>
      <name val="Calibri"/>
      <family val="2"/>
      <scheme val="minor"/>
    </font>
    <font>
      <u/>
      <sz val="11"/>
      <color rgb="FF7030A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0070C0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25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26" fillId="0" borderId="0" xfId="1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24" fillId="0" borderId="0" xfId="0" applyNumberFormat="1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27" fillId="0" borderId="0" xfId="0" applyNumberFormat="1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29" fillId="11" borderId="0" xfId="0" applyFont="1" applyFill="1" applyAlignment="1">
      <alignment vertical="center" wrapText="1"/>
    </xf>
    <xf numFmtId="0" fontId="2" fillId="0" borderId="0" xfId="0" applyFont="1" applyFill="1" applyAlignment="1">
      <alignment vertical="center" wrapText="1"/>
    </xf>
    <xf numFmtId="0" fontId="2" fillId="0" borderId="1" xfId="0" applyFont="1" applyFill="1" applyBorder="1" applyAlignment="1">
      <alignment horizontal="center" vertical="center"/>
    </xf>
    <xf numFmtId="0" fontId="8" fillId="0" borderId="0" xfId="1" applyFill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/>
    </xf>
    <xf numFmtId="0" fontId="4" fillId="12" borderId="0" xfId="0" applyFont="1" applyFill="1" applyAlignment="1">
      <alignment horizontal="center" vertical="center"/>
    </xf>
    <xf numFmtId="0" fontId="30" fillId="0" borderId="0" xfId="0" applyFont="1"/>
    <xf numFmtId="0" fontId="31" fillId="0" borderId="0" xfId="0" applyFont="1"/>
    <xf numFmtId="0" fontId="32" fillId="0" borderId="0" xfId="0" applyFont="1"/>
    <xf numFmtId="0" fontId="33" fillId="0" borderId="0" xfId="0" applyFont="1"/>
    <xf numFmtId="10" fontId="0" fillId="0" borderId="0" xfId="0" applyNumberFormat="1"/>
    <xf numFmtId="10" fontId="32" fillId="0" borderId="0" xfId="0" applyNumberFormat="1" applyFont="1"/>
    <xf numFmtId="0" fontId="34" fillId="0" borderId="0" xfId="0" applyFont="1"/>
    <xf numFmtId="10" fontId="34" fillId="0" borderId="0" xfId="0" applyNumberFormat="1" applyFont="1"/>
    <xf numFmtId="10" fontId="30" fillId="0" borderId="0" xfId="0" applyNumberFormat="1" applyFont="1"/>
    <xf numFmtId="0" fontId="12" fillId="0" borderId="0" xfId="0" applyFont="1"/>
    <xf numFmtId="10" fontId="12" fillId="0" borderId="0" xfId="0" applyNumberFormat="1" applyFont="1"/>
    <xf numFmtId="0" fontId="36" fillId="0" borderId="0" xfId="0" applyFont="1"/>
    <xf numFmtId="10" fontId="36" fillId="0" borderId="0" xfId="0" applyNumberFormat="1" applyFont="1"/>
    <xf numFmtId="10" fontId="31" fillId="0" borderId="0" xfId="0" applyNumberFormat="1" applyFont="1"/>
    <xf numFmtId="0" fontId="37" fillId="0" borderId="0" xfId="0" applyFont="1"/>
    <xf numFmtId="10" fontId="37" fillId="0" borderId="0" xfId="0" applyNumberFormat="1" applyFont="1"/>
    <xf numFmtId="10" fontId="33" fillId="0" borderId="0" xfId="0" applyNumberFormat="1" applyFont="1"/>
    <xf numFmtId="0" fontId="4" fillId="12" borderId="0" xfId="0" applyFont="1" applyFill="1" applyAlignment="1">
      <alignment horizontal="center" vertical="center" wrapText="1"/>
    </xf>
    <xf numFmtId="0" fontId="7" fillId="0" borderId="0" xfId="0" applyFont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35" fillId="0" borderId="0" xfId="0" applyFont="1" applyAlignment="1">
      <alignment horizontal="left" vertical="top" wrapText="1"/>
    </xf>
    <xf numFmtId="0" fontId="4" fillId="14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14" fontId="4" fillId="3" borderId="1" xfId="0" applyNumberFormat="1" applyFont="1" applyFill="1" applyBorder="1" applyAlignment="1">
      <alignment horizontal="center" vertical="center"/>
    </xf>
    <xf numFmtId="14" fontId="4" fillId="3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14" borderId="1" xfId="0" applyFont="1" applyFill="1" applyBorder="1" applyAlignment="1">
      <alignment horizontal="center" vertical="center"/>
    </xf>
    <xf numFmtId="0" fontId="12" fillId="9" borderId="0" xfId="0" applyFont="1" applyFill="1" applyAlignment="1">
      <alignment horizontal="left" vertical="top" wrapText="1"/>
    </xf>
    <xf numFmtId="0" fontId="12" fillId="0" borderId="0" xfId="0" applyFont="1" applyAlignment="1">
      <alignment horizontal="left" vertical="top" wrapText="1"/>
    </xf>
    <xf numFmtId="14" fontId="4" fillId="3" borderId="1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14" fontId="4" fillId="3" borderId="1" xfId="0" applyNumberFormat="1" applyFont="1" applyFill="1" applyBorder="1" applyAlignment="1">
      <alignment horizontal="center" vertical="center"/>
    </xf>
    <xf numFmtId="14" fontId="4" fillId="3" borderId="9" xfId="0" applyNumberFormat="1" applyFont="1" applyFill="1" applyBorder="1" applyAlignment="1">
      <alignment horizontal="center" vertical="center"/>
    </xf>
    <xf numFmtId="0" fontId="14" fillId="4" borderId="0" xfId="0" applyFont="1" applyFill="1" applyAlignment="1">
      <alignment horizontal="left" vertical="top" wrapText="1"/>
    </xf>
    <xf numFmtId="0" fontId="0" fillId="0" borderId="0" xfId="0" applyAlignment="1">
      <alignment horizontal="center" vertical="center"/>
    </xf>
    <xf numFmtId="14" fontId="4" fillId="3" borderId="1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 wrapText="1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27" fillId="0" borderId="0" xfId="0" applyNumberFormat="1" applyFont="1" applyAlignment="1">
      <alignment horizontal="left" vertical="top" wrapText="1"/>
    </xf>
    <xf numFmtId="0" fontId="25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18" fillId="0" borderId="0" xfId="0" applyNumberFormat="1" applyFont="1" applyAlignment="1">
      <alignment horizontal="center" vertical="center"/>
    </xf>
    <xf numFmtId="0" fontId="25" fillId="0" borderId="0" xfId="0" applyNumberFormat="1" applyFont="1" applyAlignment="1">
      <alignment horizontal="center" vertical="center" wrapText="1"/>
    </xf>
    <xf numFmtId="0" fontId="8" fillId="0" borderId="2" xfId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14" fontId="4" fillId="14" borderId="1" xfId="0" applyNumberFormat="1" applyFont="1" applyFill="1" applyBorder="1" applyAlignment="1">
      <alignment horizontal="center" vertical="center"/>
    </xf>
    <xf numFmtId="0" fontId="4" fillId="14" borderId="6" xfId="0" applyFont="1" applyFill="1" applyBorder="1" applyAlignment="1">
      <alignment horizontal="center" vertical="center"/>
    </xf>
    <xf numFmtId="0" fontId="4" fillId="14" borderId="7" xfId="0" applyFont="1" applyFill="1" applyBorder="1" applyAlignment="1">
      <alignment horizontal="center" vertical="center"/>
    </xf>
    <xf numFmtId="14" fontId="4" fillId="14" borderId="10" xfId="0" applyNumberFormat="1" applyFont="1" applyFill="1" applyBorder="1" applyAlignment="1">
      <alignment horizontal="center" vertical="center"/>
    </xf>
    <xf numFmtId="0" fontId="38" fillId="13" borderId="0" xfId="1" quotePrefix="1" applyFont="1" applyFill="1" applyAlignment="1">
      <alignment horizontal="center" vertical="center"/>
    </xf>
    <xf numFmtId="0" fontId="38" fillId="13" borderId="0" xfId="1" applyFont="1" applyFill="1" applyAlignment="1">
      <alignment horizontal="center" vertical="center"/>
    </xf>
    <xf numFmtId="0" fontId="4" fillId="14" borderId="1" xfId="0" applyFont="1" applyFill="1" applyBorder="1" applyAlignment="1">
      <alignment horizontal="center" vertical="center"/>
    </xf>
    <xf numFmtId="14" fontId="4" fillId="3" borderId="1" xfId="0" applyNumberFormat="1" applyFont="1" applyFill="1" applyBorder="1" applyAlignment="1">
      <alignment horizontal="center" vertical="center"/>
    </xf>
    <xf numFmtId="0" fontId="4" fillId="14" borderId="5" xfId="0" applyFont="1" applyFill="1" applyBorder="1" applyAlignment="1">
      <alignment horizontal="center" vertical="center"/>
    </xf>
    <xf numFmtId="0" fontId="4" fillId="14" borderId="8" xfId="0" applyFont="1" applyFill="1" applyBorder="1" applyAlignment="1">
      <alignment horizontal="center" vertical="center"/>
    </xf>
    <xf numFmtId="14" fontId="4" fillId="3" borderId="9" xfId="0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4" fontId="4" fillId="3" borderId="6" xfId="0" applyNumberFormat="1" applyFont="1" applyFill="1" applyBorder="1" applyAlignment="1">
      <alignment horizontal="center" vertical="center"/>
    </xf>
    <xf numFmtId="14" fontId="4" fillId="3" borderId="7" xfId="0" applyNumberFormat="1" applyFont="1" applyFill="1" applyBorder="1" applyAlignment="1">
      <alignment horizontal="center" vertical="center"/>
    </xf>
    <xf numFmtId="14" fontId="4" fillId="14" borderId="5" xfId="0" applyNumberFormat="1" applyFont="1" applyFill="1" applyBorder="1" applyAlignment="1">
      <alignment horizontal="center" vertical="center"/>
    </xf>
    <xf numFmtId="14" fontId="4" fillId="14" borderId="0" xfId="0" applyNumberFormat="1" applyFont="1" applyFill="1" applyBorder="1" applyAlignment="1">
      <alignment horizontal="center" vertical="center"/>
    </xf>
    <xf numFmtId="14" fontId="4" fillId="3" borderId="0" xfId="0" applyNumberFormat="1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109"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9" tint="0.89996032593768116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  <fill>
        <patternFill>
          <bgColor theme="5" tint="0.59996337778862885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108"/>
      <tableStyleElement type="headerRow" dxfId="107"/>
    </tableStyle>
  </tableStyles>
  <colors>
    <mruColors>
      <color rgb="FF333333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0.44736842105263158</c:v>
                </c:pt>
                <c:pt idx="1">
                  <c:v>0.21052631578947367</c:v>
                </c:pt>
                <c:pt idx="2">
                  <c:v>0.34210526315789475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0.76595744680851063</c:v>
                </c:pt>
                <c:pt idx="1">
                  <c:v>0.16489361702127658</c:v>
                </c:pt>
                <c:pt idx="2">
                  <c:v>3.7234042553191488E-2</c:v>
                </c:pt>
                <c:pt idx="3">
                  <c:v>3.1914893617021274E-2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Percent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'Summary Plan'!$T$3</c:f>
              <c:strCache>
                <c:ptCount val="1"/>
                <c:pt idx="0">
                  <c:v>Percent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Plan'!$R$4:$R$8</c:f>
              <c:strCache>
                <c:ptCount val="5"/>
                <c:pt idx="0">
                  <c:v>Finished</c:v>
                </c:pt>
                <c:pt idx="1">
                  <c:v>Error</c:v>
                </c:pt>
                <c:pt idx="2">
                  <c:v>Fixed</c:v>
                </c:pt>
                <c:pt idx="3">
                  <c:v>Fixing</c:v>
                </c:pt>
                <c:pt idx="4">
                  <c:v>Not Started</c:v>
                </c:pt>
              </c:strCache>
            </c:strRef>
          </c:cat>
          <c:val>
            <c:numRef>
              <c:f>'Summary Plan'!$T$4:$T$8</c:f>
              <c:numCache>
                <c:formatCode>0.00%</c:formatCode>
                <c:ptCount val="5"/>
                <c:pt idx="0">
                  <c:v>0.68208092485549132</c:v>
                </c:pt>
                <c:pt idx="1">
                  <c:v>6.358381502890173E-2</c:v>
                </c:pt>
                <c:pt idx="2">
                  <c:v>0.23699421965317918</c:v>
                </c:pt>
                <c:pt idx="3">
                  <c:v>0</c:v>
                </c:pt>
                <c:pt idx="4">
                  <c:v>1.7341040462427744E-2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Type Count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'Summary Plan'!$N$4:$N$6</c:f>
              <c:strCache>
                <c:ptCount val="3"/>
                <c:pt idx="0">
                  <c:v>WhiteBox</c:v>
                </c:pt>
                <c:pt idx="1">
                  <c:v>GrayBox</c:v>
                </c:pt>
                <c:pt idx="2">
                  <c:v>BlackBox</c:v>
                </c:pt>
              </c:strCache>
            </c:strRef>
          </c:cat>
          <c:val>
            <c:numRef>
              <c:f>'Summary Plan'!$O$4:$O$6</c:f>
              <c:numCache>
                <c:formatCode>General</c:formatCode>
                <c:ptCount val="3"/>
                <c:pt idx="0">
                  <c:v>64</c:v>
                </c:pt>
                <c:pt idx="1">
                  <c:v>58</c:v>
                </c:pt>
                <c:pt idx="2">
                  <c:v>51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552938384"/>
        <c:axId val="-1552941104"/>
      </c:barChart>
      <c:catAx>
        <c:axId val="-1552938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52941104"/>
        <c:crosses val="autoZero"/>
        <c:auto val="1"/>
        <c:lblAlgn val="ctr"/>
        <c:lblOffset val="100"/>
        <c:noMultiLvlLbl val="0"/>
      </c:catAx>
      <c:valAx>
        <c:axId val="-155294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52938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533400</xdr:colOff>
      <xdr:row>8</xdr:row>
      <xdr:rowOff>76200</xdr:rowOff>
    </xdr:from>
    <xdr:to>
      <xdr:col>9</xdr:col>
      <xdr:colOff>666750</xdr:colOff>
      <xdr:row>21</xdr:row>
      <xdr:rowOff>57150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466725</xdr:colOff>
      <xdr:row>9</xdr:row>
      <xdr:rowOff>19050</xdr:rowOff>
    </xdr:from>
    <xdr:to>
      <xdr:col>22</xdr:col>
      <xdr:colOff>285750</xdr:colOff>
      <xdr:row>19</xdr:row>
      <xdr:rowOff>138112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209549</xdr:colOff>
      <xdr:row>8</xdr:row>
      <xdr:rowOff>104774</xdr:rowOff>
    </xdr:from>
    <xdr:to>
      <xdr:col>16</xdr:col>
      <xdr:colOff>219074</xdr:colOff>
      <xdr:row>19</xdr:row>
      <xdr:rowOff>176211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OpenHFT/Java-Runtime-Compil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topLeftCell="A13" workbookViewId="0">
      <selection activeCell="D8" sqref="D8"/>
    </sheetView>
  </sheetViews>
  <sheetFormatPr defaultRowHeight="15" x14ac:dyDescent="0.25"/>
  <cols>
    <col min="1" max="1" width="16.5703125" style="12" customWidth="1"/>
    <col min="2" max="6" width="13" customWidth="1"/>
  </cols>
  <sheetData>
    <row r="1" spans="1:6" x14ac:dyDescent="0.25">
      <c r="A1" s="177" t="s">
        <v>0</v>
      </c>
      <c r="B1" s="177"/>
      <c r="C1" s="177"/>
    </row>
    <row r="2" spans="1:6" x14ac:dyDescent="0.25">
      <c r="A2" s="177"/>
      <c r="B2" s="177"/>
      <c r="C2" s="177"/>
    </row>
    <row r="3" spans="1:6" x14ac:dyDescent="0.25">
      <c r="A3" s="10"/>
      <c r="B3" s="1"/>
      <c r="C3" s="1"/>
      <c r="D3" s="1"/>
    </row>
    <row r="4" spans="1:6" x14ac:dyDescent="0.25">
      <c r="A4" s="11" t="s">
        <v>43</v>
      </c>
      <c r="B4" s="9" t="s">
        <v>40</v>
      </c>
      <c r="C4" s="7" t="s">
        <v>41</v>
      </c>
      <c r="D4" s="179" t="s">
        <v>42</v>
      </c>
      <c r="E4" s="179"/>
    </row>
    <row r="5" spans="1:6" x14ac:dyDescent="0.25">
      <c r="A5" s="178" t="s">
        <v>21</v>
      </c>
      <c r="B5" s="178"/>
      <c r="C5" s="178"/>
      <c r="D5" s="178"/>
      <c r="E5" s="178"/>
      <c r="F5" s="178"/>
    </row>
    <row r="6" spans="1:6" x14ac:dyDescent="0.25">
      <c r="A6" s="178"/>
      <c r="B6" s="178"/>
      <c r="C6" s="178"/>
      <c r="D6" s="178"/>
      <c r="E6" s="178"/>
      <c r="F6" s="178"/>
    </row>
    <row r="7" spans="1:6" x14ac:dyDescent="0.25">
      <c r="A7" s="18" t="s">
        <v>24</v>
      </c>
    </row>
    <row r="8" spans="1:6" x14ac:dyDescent="0.25">
      <c r="A8" s="176"/>
      <c r="B8" s="18" t="s">
        <v>25</v>
      </c>
    </row>
    <row r="9" spans="1:6" x14ac:dyDescent="0.25">
      <c r="A9" s="176"/>
      <c r="B9" s="18" t="s">
        <v>23</v>
      </c>
    </row>
    <row r="10" spans="1:6" x14ac:dyDescent="0.25">
      <c r="A10" s="176"/>
      <c r="C10" s="6" t="s">
        <v>35</v>
      </c>
    </row>
    <row r="11" spans="1:6" x14ac:dyDescent="0.25">
      <c r="A11" s="176"/>
      <c r="B11" s="18" t="s">
        <v>22</v>
      </c>
      <c r="C11" s="175"/>
    </row>
    <row r="12" spans="1:6" x14ac:dyDescent="0.25">
      <c r="A12" s="176"/>
      <c r="B12" s="18" t="s">
        <v>26</v>
      </c>
      <c r="C12" s="175"/>
    </row>
    <row r="13" spans="1:6" x14ac:dyDescent="0.25">
      <c r="A13" s="176"/>
      <c r="B13" s="18" t="s">
        <v>45</v>
      </c>
      <c r="C13" s="175"/>
    </row>
    <row r="14" spans="1:6" x14ac:dyDescent="0.25">
      <c r="A14" s="7" t="s">
        <v>27</v>
      </c>
      <c r="C14" s="175"/>
    </row>
    <row r="15" spans="1:6" x14ac:dyDescent="0.25">
      <c r="A15" s="176"/>
      <c r="B15" s="18" t="s">
        <v>28</v>
      </c>
      <c r="C15" s="175"/>
    </row>
    <row r="16" spans="1:6" x14ac:dyDescent="0.25">
      <c r="A16" s="176"/>
      <c r="B16" s="175"/>
      <c r="C16" s="18" t="s">
        <v>31</v>
      </c>
    </row>
    <row r="17" spans="1:4" x14ac:dyDescent="0.25">
      <c r="A17" s="176"/>
      <c r="B17" s="175"/>
      <c r="C17" s="175"/>
      <c r="D17" s="9" t="s">
        <v>39</v>
      </c>
    </row>
    <row r="18" spans="1:4" x14ac:dyDescent="0.25">
      <c r="A18" s="176"/>
      <c r="B18" s="175"/>
      <c r="C18" s="175"/>
      <c r="D18" s="9" t="s">
        <v>38</v>
      </c>
    </row>
    <row r="19" spans="1:4" x14ac:dyDescent="0.25">
      <c r="A19" s="176"/>
      <c r="B19" s="175"/>
      <c r="C19" s="175"/>
      <c r="D19" s="18" t="s">
        <v>22</v>
      </c>
    </row>
    <row r="20" spans="1:4" x14ac:dyDescent="0.25">
      <c r="A20" s="176"/>
      <c r="B20" s="175"/>
      <c r="C20" s="18" t="s">
        <v>32</v>
      </c>
    </row>
    <row r="21" spans="1:4" x14ac:dyDescent="0.25">
      <c r="A21" s="176"/>
      <c r="B21" s="175"/>
      <c r="C21" s="175"/>
      <c r="D21" s="9" t="s">
        <v>39</v>
      </c>
    </row>
    <row r="22" spans="1:4" x14ac:dyDescent="0.25">
      <c r="A22" s="176"/>
      <c r="B22" s="175"/>
      <c r="C22" s="175"/>
      <c r="D22" s="9" t="s">
        <v>38</v>
      </c>
    </row>
    <row r="23" spans="1:4" x14ac:dyDescent="0.25">
      <c r="A23" s="176"/>
      <c r="B23" s="175"/>
      <c r="C23" s="175"/>
      <c r="D23" s="18" t="s">
        <v>22</v>
      </c>
    </row>
    <row r="24" spans="1:4" x14ac:dyDescent="0.25">
      <c r="A24" s="176"/>
      <c r="B24" s="18" t="s">
        <v>29</v>
      </c>
      <c r="C24" s="175"/>
      <c r="D24" s="175"/>
    </row>
    <row r="25" spans="1:4" x14ac:dyDescent="0.25">
      <c r="A25" s="176"/>
      <c r="B25" s="175"/>
      <c r="C25" s="18" t="s">
        <v>33</v>
      </c>
      <c r="D25" s="175"/>
    </row>
    <row r="26" spans="1:4" x14ac:dyDescent="0.25">
      <c r="A26" s="176"/>
      <c r="B26" s="175"/>
      <c r="C26" s="175"/>
      <c r="D26" s="9" t="s">
        <v>39</v>
      </c>
    </row>
    <row r="27" spans="1:4" x14ac:dyDescent="0.25">
      <c r="A27" s="176"/>
      <c r="B27" s="175"/>
      <c r="C27" s="175"/>
      <c r="D27" s="18" t="s">
        <v>38</v>
      </c>
    </row>
    <row r="28" spans="1:4" x14ac:dyDescent="0.25">
      <c r="A28" s="176"/>
      <c r="B28" s="175"/>
      <c r="C28" s="175"/>
      <c r="D28" s="18" t="s">
        <v>22</v>
      </c>
    </row>
    <row r="29" spans="1:4" x14ac:dyDescent="0.25">
      <c r="A29" s="176"/>
      <c r="B29" s="175"/>
      <c r="C29" s="18" t="s">
        <v>34</v>
      </c>
    </row>
    <row r="30" spans="1:4" x14ac:dyDescent="0.25">
      <c r="A30" s="176"/>
      <c r="B30" s="175"/>
      <c r="C30" s="175"/>
      <c r="D30" s="18" t="s">
        <v>39</v>
      </c>
    </row>
    <row r="31" spans="1:4" x14ac:dyDescent="0.25">
      <c r="A31" s="176"/>
      <c r="B31" s="175"/>
      <c r="C31" s="175"/>
      <c r="D31" s="18" t="s">
        <v>38</v>
      </c>
    </row>
    <row r="32" spans="1:4" x14ac:dyDescent="0.25">
      <c r="A32" s="176"/>
      <c r="B32" s="175"/>
      <c r="C32" s="175"/>
      <c r="D32" s="18" t="s">
        <v>22</v>
      </c>
    </row>
    <row r="33" spans="1:4" x14ac:dyDescent="0.25">
      <c r="A33" s="176"/>
      <c r="B33" s="18" t="s">
        <v>30</v>
      </c>
      <c r="C33" s="175"/>
      <c r="D33" s="175"/>
    </row>
    <row r="34" spans="1:4" x14ac:dyDescent="0.25">
      <c r="A34" s="176"/>
      <c r="B34" s="175"/>
      <c r="C34" s="18" t="s">
        <v>33</v>
      </c>
      <c r="D34" s="175"/>
    </row>
    <row r="35" spans="1:4" x14ac:dyDescent="0.25">
      <c r="A35" s="176"/>
      <c r="B35" s="175"/>
      <c r="C35" s="180"/>
      <c r="D35" s="18" t="s">
        <v>39</v>
      </c>
    </row>
    <row r="36" spans="1:4" x14ac:dyDescent="0.25">
      <c r="A36" s="176"/>
      <c r="B36" s="175"/>
      <c r="C36" s="180"/>
      <c r="D36" s="18" t="s">
        <v>38</v>
      </c>
    </row>
    <row r="37" spans="1:4" x14ac:dyDescent="0.25">
      <c r="A37" s="176"/>
      <c r="B37" s="175"/>
      <c r="C37" s="180"/>
      <c r="D37" s="18" t="s">
        <v>22</v>
      </c>
    </row>
    <row r="38" spans="1:4" x14ac:dyDescent="0.25">
      <c r="A38" s="176"/>
      <c r="B38" s="175"/>
      <c r="C38" s="18" t="s">
        <v>34</v>
      </c>
    </row>
    <row r="39" spans="1:4" x14ac:dyDescent="0.25">
      <c r="A39" s="176"/>
      <c r="B39" s="175"/>
      <c r="C39" s="175"/>
      <c r="D39" s="18" t="s">
        <v>39</v>
      </c>
    </row>
    <row r="40" spans="1:4" x14ac:dyDescent="0.25">
      <c r="A40" s="176"/>
      <c r="B40" s="175"/>
      <c r="C40" s="175"/>
      <c r="D40" s="18" t="s">
        <v>38</v>
      </c>
    </row>
    <row r="41" spans="1:4" x14ac:dyDescent="0.25">
      <c r="A41" s="176"/>
      <c r="B41" s="175"/>
      <c r="C41" s="175"/>
      <c r="D41" s="18" t="s">
        <v>22</v>
      </c>
    </row>
    <row r="42" spans="1:4" x14ac:dyDescent="0.25">
      <c r="A42" s="7" t="s">
        <v>667</v>
      </c>
      <c r="B42" s="175"/>
      <c r="C42" s="175"/>
    </row>
    <row r="43" spans="1:4" x14ac:dyDescent="0.25">
      <c r="B43" s="18" t="s">
        <v>36</v>
      </c>
      <c r="C43" s="175"/>
    </row>
    <row r="44" spans="1:4" x14ac:dyDescent="0.25">
      <c r="C44" s="18" t="s">
        <v>38</v>
      </c>
    </row>
    <row r="45" spans="1:4" x14ac:dyDescent="0.25">
      <c r="B45" s="6" t="s">
        <v>37</v>
      </c>
    </row>
    <row r="46" spans="1:4" x14ac:dyDescent="0.25">
      <c r="C46" s="18" t="s">
        <v>38</v>
      </c>
    </row>
    <row r="47" spans="1:4" x14ac:dyDescent="0.25">
      <c r="C47" s="18" t="s">
        <v>44</v>
      </c>
    </row>
    <row r="48" spans="1:4" x14ac:dyDescent="0.25">
      <c r="A48" s="8"/>
    </row>
  </sheetData>
  <mergeCells count="17">
    <mergeCell ref="C17:C19"/>
    <mergeCell ref="C21:C24"/>
    <mergeCell ref="B16:B23"/>
    <mergeCell ref="C11:C15"/>
    <mergeCell ref="A8:A13"/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6"/>
  <sheetViews>
    <sheetView workbookViewId="0">
      <pane xSplit="1" topLeftCell="B1" activePane="topRight" state="frozen"/>
      <selection pane="topRight" activeCell="T6" sqref="T6"/>
    </sheetView>
  </sheetViews>
  <sheetFormatPr defaultRowHeight="15" x14ac:dyDescent="0.25"/>
  <cols>
    <col min="1" max="1" width="32.5703125" style="1" customWidth="1"/>
    <col min="2" max="11" width="32.5703125" customWidth="1"/>
    <col min="12" max="12" width="34.7109375" customWidth="1"/>
    <col min="13" max="13" width="35.28515625" customWidth="1"/>
    <col min="14" max="16" width="32.5703125" customWidth="1"/>
    <col min="17" max="17" width="33.5703125" customWidth="1"/>
    <col min="18" max="18" width="35.28515625" customWidth="1"/>
    <col min="19" max="21" width="26.42578125" customWidth="1"/>
    <col min="22" max="22" width="27.5703125" customWidth="1"/>
    <col min="23" max="23" width="26.42578125" customWidth="1"/>
    <col min="24" max="32" width="26.28515625" style="95" customWidth="1"/>
  </cols>
  <sheetData>
    <row r="1" spans="1:32" ht="34.5" customHeight="1" x14ac:dyDescent="0.25">
      <c r="A1" s="5" t="s">
        <v>13</v>
      </c>
      <c r="B1" s="181" t="s">
        <v>1</v>
      </c>
      <c r="C1" s="181"/>
      <c r="D1" s="181"/>
      <c r="E1" s="181"/>
      <c r="F1" s="182" t="s">
        <v>16</v>
      </c>
      <c r="G1" s="182"/>
      <c r="H1" s="182"/>
      <c r="I1" s="182"/>
      <c r="J1" s="182"/>
      <c r="K1" s="182"/>
      <c r="L1" s="182"/>
      <c r="M1" s="182"/>
      <c r="N1" s="54" t="s">
        <v>123</v>
      </c>
      <c r="O1" s="183" t="s">
        <v>289</v>
      </c>
      <c r="P1" s="183"/>
      <c r="Q1" s="183"/>
      <c r="R1" s="183"/>
      <c r="S1" s="183"/>
      <c r="T1" s="116"/>
      <c r="U1" s="116"/>
      <c r="V1" s="116"/>
      <c r="W1" s="116"/>
      <c r="X1" s="184" t="s">
        <v>390</v>
      </c>
      <c r="Y1" s="184"/>
      <c r="Z1" s="184"/>
    </row>
    <row r="2" spans="1:32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93" t="s">
        <v>388</v>
      </c>
      <c r="I2" s="2" t="s">
        <v>18</v>
      </c>
      <c r="J2" s="93" t="s">
        <v>389</v>
      </c>
      <c r="K2" s="2" t="s">
        <v>19</v>
      </c>
      <c r="L2" s="2" t="s">
        <v>75</v>
      </c>
      <c r="M2" s="2" t="s">
        <v>76</v>
      </c>
      <c r="O2" s="2" t="s">
        <v>290</v>
      </c>
      <c r="P2" s="2" t="s">
        <v>291</v>
      </c>
      <c r="Q2" s="2" t="s">
        <v>293</v>
      </c>
      <c r="R2" s="83" t="s">
        <v>304</v>
      </c>
      <c r="S2" s="2" t="s">
        <v>305</v>
      </c>
      <c r="T2" s="115" t="s">
        <v>460</v>
      </c>
      <c r="U2" s="115" t="s">
        <v>461</v>
      </c>
      <c r="V2" s="115" t="s">
        <v>462</v>
      </c>
      <c r="W2" s="115" t="s">
        <v>463</v>
      </c>
      <c r="X2" s="96" t="s">
        <v>390</v>
      </c>
      <c r="Y2" s="96" t="s">
        <v>392</v>
      </c>
      <c r="Z2" s="96" t="s">
        <v>396</v>
      </c>
      <c r="AA2" s="96"/>
      <c r="AB2" s="96"/>
      <c r="AC2" s="96"/>
      <c r="AD2" s="96"/>
      <c r="AE2" s="96"/>
      <c r="AF2" s="96"/>
    </row>
    <row r="3" spans="1:32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16" t="s">
        <v>15</v>
      </c>
      <c r="I3" s="3" t="s">
        <v>15</v>
      </c>
      <c r="J3" s="16" t="s">
        <v>15</v>
      </c>
      <c r="K3" s="3" t="s">
        <v>15</v>
      </c>
      <c r="L3" s="3" t="s">
        <v>77</v>
      </c>
      <c r="M3" s="16" t="s">
        <v>77</v>
      </c>
      <c r="T3" s="17" t="s">
        <v>459</v>
      </c>
      <c r="U3" s="17" t="s">
        <v>459</v>
      </c>
      <c r="V3" s="17" t="s">
        <v>459</v>
      </c>
      <c r="W3" s="17" t="s">
        <v>459</v>
      </c>
      <c r="X3" s="17" t="s">
        <v>391</v>
      </c>
      <c r="Y3" s="17" t="s">
        <v>391</v>
      </c>
      <c r="Z3" s="17" t="s">
        <v>391</v>
      </c>
      <c r="AA3" s="17"/>
      <c r="AB3" s="17"/>
      <c r="AC3" s="17"/>
      <c r="AD3" s="17"/>
      <c r="AE3" s="17"/>
      <c r="AF3" s="17"/>
    </row>
    <row r="4" spans="1:32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16"/>
      <c r="I4" s="3" t="s">
        <v>6</v>
      </c>
      <c r="J4" s="16"/>
      <c r="K4" s="3" t="s">
        <v>6</v>
      </c>
      <c r="L4" s="3" t="s">
        <v>6</v>
      </c>
      <c r="M4" s="16" t="s">
        <v>6</v>
      </c>
      <c r="O4" s="3" t="s">
        <v>16</v>
      </c>
      <c r="P4" s="3" t="s">
        <v>290</v>
      </c>
      <c r="Q4" s="3" t="s">
        <v>290</v>
      </c>
      <c r="T4" s="16"/>
      <c r="U4" s="16"/>
      <c r="V4" s="16"/>
      <c r="W4" s="16"/>
      <c r="X4" s="17"/>
      <c r="Y4" s="17"/>
      <c r="Z4" s="17"/>
      <c r="AA4" s="17"/>
      <c r="AB4" s="17"/>
      <c r="AC4" s="17"/>
      <c r="AD4" s="17"/>
      <c r="AE4" s="17"/>
      <c r="AF4" s="17"/>
    </row>
    <row r="5" spans="1:32" s="3" customFormat="1" ht="37.5" customHeight="1" x14ac:dyDescent="0.25">
      <c r="A5" s="2" t="s">
        <v>3</v>
      </c>
      <c r="H5" s="16" t="s">
        <v>7</v>
      </c>
      <c r="J5" s="16" t="s">
        <v>7</v>
      </c>
      <c r="K5" s="3" t="s">
        <v>6</v>
      </c>
      <c r="L5" s="16" t="s">
        <v>6</v>
      </c>
      <c r="M5" s="16" t="s">
        <v>6</v>
      </c>
      <c r="T5" s="16"/>
      <c r="U5" s="16"/>
      <c r="V5" s="17" t="s">
        <v>7</v>
      </c>
      <c r="W5" s="17" t="s">
        <v>7</v>
      </c>
      <c r="X5" s="17" t="s">
        <v>7</v>
      </c>
      <c r="Y5" s="17" t="s">
        <v>7</v>
      </c>
      <c r="Z5" s="17" t="s">
        <v>7</v>
      </c>
      <c r="AA5" s="17"/>
      <c r="AB5" s="17"/>
      <c r="AC5" s="17"/>
      <c r="AD5" s="17"/>
      <c r="AE5" s="17"/>
      <c r="AF5" s="17"/>
    </row>
    <row r="6" spans="1:32" s="3" customFormat="1" ht="175.5" customHeight="1" x14ac:dyDescent="0.25">
      <c r="A6" s="2" t="s">
        <v>8</v>
      </c>
      <c r="B6" s="4" t="s">
        <v>139</v>
      </c>
      <c r="C6" s="4" t="s">
        <v>140</v>
      </c>
      <c r="D6" s="3" t="s">
        <v>78</v>
      </c>
      <c r="E6" s="3" t="s">
        <v>79</v>
      </c>
      <c r="F6" s="4" t="s">
        <v>418</v>
      </c>
      <c r="G6" s="4" t="s">
        <v>219</v>
      </c>
      <c r="H6" s="17" t="s">
        <v>394</v>
      </c>
      <c r="I6" s="4" t="s">
        <v>457</v>
      </c>
      <c r="J6" s="17" t="s">
        <v>458</v>
      </c>
      <c r="K6" s="4" t="s">
        <v>20</v>
      </c>
      <c r="L6" s="22" t="s">
        <v>98</v>
      </c>
      <c r="M6" s="17" t="s">
        <v>80</v>
      </c>
      <c r="O6" s="17" t="s">
        <v>320</v>
      </c>
      <c r="P6" s="17" t="s">
        <v>292</v>
      </c>
      <c r="Q6" s="17" t="s">
        <v>308</v>
      </c>
      <c r="R6" s="17" t="s">
        <v>307</v>
      </c>
      <c r="S6" s="17" t="s">
        <v>306</v>
      </c>
      <c r="T6" s="17" t="s">
        <v>467</v>
      </c>
      <c r="U6" s="17" t="s">
        <v>464</v>
      </c>
      <c r="V6" s="17" t="s">
        <v>466</v>
      </c>
      <c r="W6" s="17" t="s">
        <v>465</v>
      </c>
      <c r="X6" s="17" t="s">
        <v>393</v>
      </c>
      <c r="Y6" s="17" t="s">
        <v>395</v>
      </c>
      <c r="Z6" s="17" t="s">
        <v>397</v>
      </c>
      <c r="AA6" s="17"/>
      <c r="AB6" s="17"/>
      <c r="AC6" s="17"/>
      <c r="AD6" s="17"/>
      <c r="AE6" s="17"/>
      <c r="AF6" s="17"/>
    </row>
  </sheetData>
  <mergeCells count="4">
    <mergeCell ref="B1:E1"/>
    <mergeCell ref="F1:M1"/>
    <mergeCell ref="O1:S1"/>
    <mergeCell ref="X1:Z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4"/>
  <sheetViews>
    <sheetView topLeftCell="G4" workbookViewId="0">
      <selection activeCell="O23" sqref="O23"/>
    </sheetView>
  </sheetViews>
  <sheetFormatPr defaultRowHeight="15" x14ac:dyDescent="0.25"/>
  <cols>
    <col min="3" max="3" width="9.140625" customWidth="1"/>
    <col min="8" max="10" width="11.140625" customWidth="1"/>
    <col min="18" max="18" width="11" customWidth="1"/>
  </cols>
  <sheetData>
    <row r="1" spans="1:20" x14ac:dyDescent="0.25">
      <c r="A1" s="185" t="s">
        <v>116</v>
      </c>
      <c r="B1" s="185"/>
      <c r="C1" s="185"/>
      <c r="D1" s="185"/>
      <c r="H1" s="185" t="s">
        <v>121</v>
      </c>
      <c r="I1" s="185"/>
      <c r="J1" s="185"/>
      <c r="K1" s="185"/>
      <c r="L1" s="185"/>
      <c r="N1" s="185" t="s">
        <v>481</v>
      </c>
      <c r="O1" s="185"/>
      <c r="P1" s="185"/>
      <c r="Q1" s="185"/>
      <c r="R1" s="185"/>
      <c r="S1" s="185"/>
      <c r="T1" s="185"/>
    </row>
    <row r="2" spans="1:20" x14ac:dyDescent="0.25">
      <c r="A2" s="185"/>
      <c r="B2" s="185"/>
      <c r="C2" s="185"/>
      <c r="D2" s="185"/>
      <c r="H2" s="185"/>
      <c r="I2" s="185"/>
      <c r="J2" s="185"/>
      <c r="K2" s="185"/>
      <c r="L2" s="185"/>
      <c r="N2" s="185"/>
      <c r="O2" s="185"/>
      <c r="P2" s="185"/>
      <c r="Q2" s="185"/>
      <c r="R2" s="185"/>
      <c r="S2" s="185"/>
      <c r="T2" s="185"/>
    </row>
    <row r="3" spans="1:20" x14ac:dyDescent="0.25">
      <c r="A3" t="s">
        <v>59</v>
      </c>
      <c r="B3" t="s">
        <v>117</v>
      </c>
      <c r="C3" t="s">
        <v>118</v>
      </c>
      <c r="H3" s="38" t="s">
        <v>59</v>
      </c>
      <c r="I3" s="38" t="s">
        <v>117</v>
      </c>
      <c r="J3" s="38" t="s">
        <v>118</v>
      </c>
      <c r="N3" s="119" t="s">
        <v>469</v>
      </c>
      <c r="O3" s="119" t="s">
        <v>117</v>
      </c>
      <c r="P3" s="119" t="s">
        <v>118</v>
      </c>
      <c r="R3" s="119" t="s">
        <v>59</v>
      </c>
      <c r="S3" s="119" t="s">
        <v>117</v>
      </c>
      <c r="T3" s="119" t="s">
        <v>118</v>
      </c>
    </row>
    <row r="4" spans="1:20" x14ac:dyDescent="0.25">
      <c r="A4" s="25" t="s">
        <v>94</v>
      </c>
      <c r="B4" s="39">
        <f>COUNTIF(Planning!M3:M1048576,"Yes")</f>
        <v>17</v>
      </c>
      <c r="C4" s="42">
        <f>B4/B7</f>
        <v>0.44736842105263158</v>
      </c>
      <c r="H4" s="27" t="s">
        <v>60</v>
      </c>
      <c r="I4" s="46">
        <f>COUNTIF(Checklist!D2:D1048576,"Completed")</f>
        <v>144</v>
      </c>
      <c r="J4" s="51">
        <f>I4/I8</f>
        <v>0.76595744680851063</v>
      </c>
      <c r="N4" s="150" t="s">
        <v>607</v>
      </c>
      <c r="O4" s="124">
        <f>COUNTIF(Testing!B2:B1048576,"WhiteBox")</f>
        <v>64</v>
      </c>
      <c r="P4" s="127">
        <f>O4 /O7</f>
        <v>0.36994219653179189</v>
      </c>
      <c r="R4" s="118" t="s">
        <v>40</v>
      </c>
      <c r="S4">
        <f>COUNTIF(Testing!C2:C1048576,"Finished")</f>
        <v>118</v>
      </c>
      <c r="T4" s="126">
        <f>S4/S9</f>
        <v>0.68208092485549132</v>
      </c>
    </row>
    <row r="5" spans="1:20" x14ac:dyDescent="0.25">
      <c r="A5" s="25" t="s">
        <v>82</v>
      </c>
      <c r="B5" s="40">
        <f>COUNTIF(Planning!M3:M1048576,"No")</f>
        <v>8</v>
      </c>
      <c r="C5" s="44">
        <f>B5/B7</f>
        <v>0.21052631578947367</v>
      </c>
      <c r="H5" s="27" t="s">
        <v>64</v>
      </c>
      <c r="I5" s="47">
        <f>COUNTIF(Checklist!D2:D1048576,"Not Started")</f>
        <v>31</v>
      </c>
      <c r="J5" s="52">
        <f>I5/I8</f>
        <v>0.16489361702127658</v>
      </c>
      <c r="N5" s="150" t="s">
        <v>606</v>
      </c>
      <c r="O5" s="122">
        <f>COUNTIF(Testing!B2:B1048576,"GrayBox")</f>
        <v>58</v>
      </c>
      <c r="P5" s="130">
        <f>O5/ O7</f>
        <v>0.33526011560693642</v>
      </c>
      <c r="R5" s="118" t="s">
        <v>470</v>
      </c>
      <c r="S5">
        <f>COUNTIF(Testing!C2:C1048576,"Error")</f>
        <v>11</v>
      </c>
      <c r="T5" s="126">
        <f>S5/S9</f>
        <v>6.358381502890173E-2</v>
      </c>
    </row>
    <row r="6" spans="1:20" x14ac:dyDescent="0.25">
      <c r="A6" s="25" t="s">
        <v>106</v>
      </c>
      <c r="B6" s="41">
        <f>COUNTIF(Planning!M3:M1048576,"Some")</f>
        <v>13</v>
      </c>
      <c r="C6" s="43">
        <f>B6/B7</f>
        <v>0.34210526315789475</v>
      </c>
      <c r="H6" s="27" t="s">
        <v>120</v>
      </c>
      <c r="I6" s="48">
        <f>COUNTIF(Checklist!D2:D1048576,"working")</f>
        <v>7</v>
      </c>
      <c r="J6" s="50">
        <f>I6/I8</f>
        <v>3.7234042553191488E-2</v>
      </c>
      <c r="N6" s="150" t="s">
        <v>605</v>
      </c>
      <c r="O6" s="131">
        <f>COUNTIF(Testing!B2:B1048576,"BlackBox")</f>
        <v>51</v>
      </c>
      <c r="P6" s="132">
        <f>O6/O7</f>
        <v>0.2947976878612717</v>
      </c>
      <c r="R6" s="120" t="s">
        <v>471</v>
      </c>
      <c r="S6">
        <f>COUNTIF(Testing!C2:C1048576,"Fixed")</f>
        <v>41</v>
      </c>
      <c r="T6" s="126">
        <f>S6/S9</f>
        <v>0.23699421965317918</v>
      </c>
    </row>
    <row r="7" spans="1:20" x14ac:dyDescent="0.25">
      <c r="A7" s="38" t="s">
        <v>119</v>
      </c>
      <c r="B7">
        <f>SUM(B4:B6)</f>
        <v>38</v>
      </c>
      <c r="H7" s="27" t="s">
        <v>122</v>
      </c>
      <c r="I7" s="49">
        <f>COUNTIF(Checklist!D2:D1048576,"Fixing")</f>
        <v>6</v>
      </c>
      <c r="J7" s="53">
        <f>I7/I8</f>
        <v>3.1914893617021274E-2</v>
      </c>
      <c r="N7" s="118" t="s">
        <v>119</v>
      </c>
      <c r="O7" s="133">
        <f>SUM(O4:O6)</f>
        <v>173</v>
      </c>
      <c r="P7" s="134"/>
      <c r="R7" s="118" t="s">
        <v>122</v>
      </c>
      <c r="S7">
        <f>COUNTIF(Testing!C2:C1048576,"Fixing")</f>
        <v>0</v>
      </c>
      <c r="T7" s="126">
        <f>S7/S9</f>
        <v>0</v>
      </c>
    </row>
    <row r="8" spans="1:20" x14ac:dyDescent="0.25">
      <c r="H8" s="38" t="s">
        <v>119</v>
      </c>
      <c r="I8" s="45">
        <f>SUM(I4:I7)</f>
        <v>188</v>
      </c>
      <c r="J8" s="45"/>
      <c r="N8" s="118"/>
      <c r="O8" s="123"/>
      <c r="P8" s="135"/>
      <c r="R8" s="142" t="s">
        <v>64</v>
      </c>
      <c r="S8">
        <f>COUNTIF(Testing!C2:C1048576,"Not Started")</f>
        <v>3</v>
      </c>
      <c r="T8" s="126">
        <f>S8/S9</f>
        <v>1.7341040462427744E-2</v>
      </c>
    </row>
    <row r="9" spans="1:20" x14ac:dyDescent="0.25">
      <c r="N9" s="118"/>
      <c r="O9" s="136"/>
      <c r="P9" s="137"/>
      <c r="R9" s="141" t="s">
        <v>119</v>
      </c>
      <c r="S9">
        <f>SUM(S4:S8)</f>
        <v>173</v>
      </c>
    </row>
    <row r="10" spans="1:20" x14ac:dyDescent="0.25">
      <c r="N10" s="118"/>
      <c r="O10" s="40"/>
      <c r="P10" s="44"/>
    </row>
    <row r="11" spans="1:20" x14ac:dyDescent="0.25">
      <c r="N11" s="118"/>
      <c r="O11" s="125"/>
      <c r="P11" s="138"/>
    </row>
    <row r="12" spans="1:20" x14ac:dyDescent="0.25">
      <c r="N12" s="118"/>
      <c r="O12" s="128"/>
      <c r="P12" s="129"/>
    </row>
    <row r="13" spans="1:20" x14ac:dyDescent="0.25">
      <c r="N13" s="118"/>
      <c r="P13" s="126"/>
    </row>
    <row r="14" spans="1:20" x14ac:dyDescent="0.25">
      <c r="N14" s="118"/>
    </row>
  </sheetData>
  <mergeCells count="3">
    <mergeCell ref="A1:D2"/>
    <mergeCell ref="H1:L2"/>
    <mergeCell ref="N1:T2"/>
  </mergeCells>
  <conditionalFormatting sqref="A4">
    <cfRule type="cellIs" dxfId="106" priority="55" operator="equal">
      <formula>"Some"</formula>
    </cfRule>
    <cfRule type="cellIs" dxfId="105" priority="56" operator="equal">
      <formula>"Some"</formula>
    </cfRule>
    <cfRule type="cellIs" dxfId="104" priority="57" operator="equal">
      <formula>"No"</formula>
    </cfRule>
    <cfRule type="cellIs" dxfId="103" priority="58" operator="equal">
      <formula>"Yes"</formula>
    </cfRule>
  </conditionalFormatting>
  <conditionalFormatting sqref="A5">
    <cfRule type="cellIs" dxfId="102" priority="51" operator="equal">
      <formula>"Some"</formula>
    </cfRule>
    <cfRule type="cellIs" dxfId="101" priority="52" operator="equal">
      <formula>"Some"</formula>
    </cfRule>
    <cfRule type="cellIs" dxfId="100" priority="53" operator="equal">
      <formula>"No"</formula>
    </cfRule>
    <cfRule type="cellIs" dxfId="99" priority="54" operator="equal">
      <formula>"Yes"</formula>
    </cfRule>
  </conditionalFormatting>
  <conditionalFormatting sqref="A6">
    <cfRule type="cellIs" dxfId="98" priority="47" operator="equal">
      <formula>"Some"</formula>
    </cfRule>
    <cfRule type="cellIs" dxfId="97" priority="48" operator="equal">
      <formula>"Some"</formula>
    </cfRule>
    <cfRule type="cellIs" dxfId="96" priority="49" operator="equal">
      <formula>"No"</formula>
    </cfRule>
    <cfRule type="cellIs" dxfId="95" priority="50" operator="equal">
      <formula>"Yes"</formula>
    </cfRule>
  </conditionalFormatting>
  <conditionalFormatting sqref="H4">
    <cfRule type="cellIs" dxfId="94" priority="42" operator="equal">
      <formula>"Fixing"</formula>
    </cfRule>
    <cfRule type="cellIs" dxfId="93" priority="43" operator="equal">
      <formula>"Working"</formula>
    </cfRule>
    <cfRule type="cellIs" dxfId="92" priority="44" operator="equal">
      <formula>"Not started"</formula>
    </cfRule>
    <cfRule type="cellIs" dxfId="91" priority="45" operator="equal">
      <formula>"Completed"</formula>
    </cfRule>
    <cfRule type="cellIs" dxfId="90" priority="46" operator="equal">
      <formula>"Completed"</formula>
    </cfRule>
  </conditionalFormatting>
  <conditionalFormatting sqref="H5">
    <cfRule type="cellIs" dxfId="89" priority="37" operator="equal">
      <formula>"Fixing"</formula>
    </cfRule>
    <cfRule type="cellIs" dxfId="88" priority="38" operator="equal">
      <formula>"Working"</formula>
    </cfRule>
    <cfRule type="cellIs" dxfId="87" priority="39" operator="equal">
      <formula>"Not started"</formula>
    </cfRule>
    <cfRule type="cellIs" dxfId="86" priority="40" operator="equal">
      <formula>"Completed"</formula>
    </cfRule>
    <cfRule type="cellIs" dxfId="85" priority="41" operator="equal">
      <formula>"Completed"</formula>
    </cfRule>
  </conditionalFormatting>
  <conditionalFormatting sqref="H6">
    <cfRule type="cellIs" dxfId="84" priority="32" operator="equal">
      <formula>"Fixing"</formula>
    </cfRule>
    <cfRule type="cellIs" dxfId="83" priority="33" operator="equal">
      <formula>"Working"</formula>
    </cfRule>
    <cfRule type="cellIs" dxfId="82" priority="34" operator="equal">
      <formula>"Not started"</formula>
    </cfRule>
    <cfRule type="cellIs" dxfId="81" priority="35" operator="equal">
      <formula>"Completed"</formula>
    </cfRule>
    <cfRule type="cellIs" dxfId="80" priority="36" operator="equal">
      <formula>"Completed"</formula>
    </cfRule>
  </conditionalFormatting>
  <conditionalFormatting sqref="H7">
    <cfRule type="cellIs" dxfId="79" priority="27" operator="equal">
      <formula>"Fixing"</formula>
    </cfRule>
    <cfRule type="cellIs" dxfId="78" priority="28" operator="equal">
      <formula>"Working"</formula>
    </cfRule>
    <cfRule type="cellIs" dxfId="77" priority="29" operator="equal">
      <formula>"Not started"</formula>
    </cfRule>
    <cfRule type="cellIs" dxfId="76" priority="30" operator="equal">
      <formula>"Completed"</formula>
    </cfRule>
    <cfRule type="cellIs" dxfId="75" priority="31" operator="equal">
      <formula>"Completed"</formula>
    </cfRule>
  </conditionalFormatting>
  <conditionalFormatting sqref="N7:N14">
    <cfRule type="cellIs" dxfId="74" priority="17" operator="equal">
      <formula>"Code"</formula>
    </cfRule>
    <cfRule type="cellIs" dxfId="73" priority="18" operator="equal">
      <formula>"Efficiency"</formula>
    </cfRule>
    <cfRule type="cellIs" dxfId="72" priority="19" operator="equal">
      <formula>"JavaFX"</formula>
    </cfRule>
    <cfRule type="cellIs" dxfId="71" priority="20" operator="equal">
      <formula>"FER"</formula>
    </cfRule>
    <cfRule type="cellIs" dxfId="70" priority="21" operator="equal">
      <formula>"Database"</formula>
    </cfRule>
    <cfRule type="cellIs" dxfId="69" priority="22" operator="equal">
      <formula>"GUI"</formula>
    </cfRule>
    <cfRule type="cellIs" dxfId="68" priority="23" operator="equal">
      <formula>"User"</formula>
    </cfRule>
    <cfRule type="cellIs" dxfId="67" priority="24" operator="equal">
      <formula>"Exams"</formula>
    </cfRule>
    <cfRule type="cellIs" dxfId="66" priority="25" operator="equal">
      <formula>"Exercises"</formula>
    </cfRule>
    <cfRule type="cellIs" dxfId="65" priority="26" operator="equal">
      <formula>"Lessons"</formula>
    </cfRule>
  </conditionalFormatting>
  <conditionalFormatting sqref="R4:R7">
    <cfRule type="cellIs" dxfId="64" priority="13" operator="equal">
      <formula>"Fixing"</formula>
    </cfRule>
    <cfRule type="cellIs" dxfId="63" priority="14" operator="equal">
      <formula>"Fixed"</formula>
    </cfRule>
    <cfRule type="cellIs" dxfId="62" priority="15" operator="equal">
      <formula>"Error"</formula>
    </cfRule>
    <cfRule type="cellIs" dxfId="61" priority="16" operator="equal">
      <formula>"Finished"</formula>
    </cfRule>
  </conditionalFormatting>
  <conditionalFormatting sqref="R9">
    <cfRule type="cellIs" dxfId="60" priority="9" operator="equal">
      <formula>"Fixing"</formula>
    </cfRule>
    <cfRule type="cellIs" dxfId="59" priority="10" operator="equal">
      <formula>"Fixed"</formula>
    </cfRule>
    <cfRule type="cellIs" dxfId="58" priority="11" operator="equal">
      <formula>"Error"</formula>
    </cfRule>
    <cfRule type="cellIs" dxfId="57" priority="12" operator="equal">
      <formula>"Finished"</formula>
    </cfRule>
  </conditionalFormatting>
  <conditionalFormatting sqref="R8">
    <cfRule type="cellIs" dxfId="56" priority="4" operator="equal">
      <formula>"Not Started"</formula>
    </cfRule>
    <cfRule type="cellIs" dxfId="55" priority="5" operator="equal">
      <formula>"Fixing"</formula>
    </cfRule>
    <cfRule type="cellIs" dxfId="54" priority="6" operator="equal">
      <formula>"Fixed"</formula>
    </cfRule>
    <cfRule type="cellIs" dxfId="53" priority="7" operator="equal">
      <formula>"Error"</formula>
    </cfRule>
    <cfRule type="cellIs" dxfId="52" priority="8" operator="equal">
      <formula>"Finished"</formula>
    </cfRule>
  </conditionalFormatting>
  <conditionalFormatting sqref="N4:N6">
    <cfRule type="cellIs" dxfId="51" priority="1" operator="equal">
      <formula>"WhiteBox"</formula>
    </cfRule>
    <cfRule type="cellIs" dxfId="50" priority="2" operator="equal">
      <formula>"BlackBox"</formula>
    </cfRule>
    <cfRule type="cellIs" dxfId="49" priority="3" operator="equal">
      <formula>"GrayBox"</formula>
    </cfRule>
  </conditionalFormatting>
  <hyperlinks>
    <hyperlink ref="A1:D2" location="Planning!A1" display="Summary Planning"/>
    <hyperlink ref="H1:L2" location="Checklist!A1" display="Summary Checklist"/>
    <hyperlink ref="N1:T2" location="Testing!A1" display="Summary Tests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41"/>
  <sheetViews>
    <sheetView workbookViewId="0">
      <pane ySplit="2" topLeftCell="A3" activePane="bottomLeft" state="frozen"/>
      <selection pane="bottomLeft" activeCell="L41" sqref="L41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186" t="s">
        <v>13</v>
      </c>
      <c r="B1" s="186"/>
      <c r="C1" s="186"/>
      <c r="D1" s="186"/>
      <c r="E1" s="186"/>
      <c r="F1" s="186"/>
      <c r="G1" s="186"/>
      <c r="H1" s="186"/>
      <c r="I1" s="37"/>
      <c r="J1" s="61"/>
    </row>
    <row r="2" spans="1:26" ht="30.75" customHeight="1" x14ac:dyDescent="0.25">
      <c r="A2" s="29" t="s">
        <v>46</v>
      </c>
      <c r="B2" s="29" t="s">
        <v>47</v>
      </c>
      <c r="C2" s="29" t="s">
        <v>16</v>
      </c>
      <c r="D2" s="29" t="s">
        <v>48</v>
      </c>
      <c r="E2" s="29" t="s">
        <v>1</v>
      </c>
      <c r="F2" s="29" t="s">
        <v>49</v>
      </c>
      <c r="G2" s="29" t="s">
        <v>50</v>
      </c>
      <c r="H2" s="29" t="s">
        <v>51</v>
      </c>
      <c r="I2" s="29" t="s">
        <v>103</v>
      </c>
      <c r="J2" s="62" t="s">
        <v>53</v>
      </c>
      <c r="K2" s="63" t="s">
        <v>85</v>
      </c>
      <c r="L2" s="23" t="s">
        <v>68</v>
      </c>
      <c r="M2" s="24" t="s">
        <v>81</v>
      </c>
    </row>
    <row r="3" spans="1:26" ht="61.5" customHeight="1" x14ac:dyDescent="0.25">
      <c r="A3" s="30"/>
      <c r="B3" s="30"/>
      <c r="C3" s="31" t="s">
        <v>54</v>
      </c>
      <c r="D3" s="30"/>
      <c r="E3" s="31" t="s">
        <v>55</v>
      </c>
      <c r="F3" s="30"/>
      <c r="G3" s="30"/>
      <c r="H3" s="30"/>
      <c r="I3" s="30"/>
      <c r="J3" s="70" t="s">
        <v>52</v>
      </c>
      <c r="K3" s="60" t="s">
        <v>87</v>
      </c>
      <c r="L3" s="32" t="s">
        <v>67</v>
      </c>
      <c r="M3" s="25" t="s">
        <v>94</v>
      </c>
    </row>
    <row r="4" spans="1:26" ht="61.5" customHeight="1" x14ac:dyDescent="0.25">
      <c r="C4" s="30" t="s">
        <v>227</v>
      </c>
      <c r="J4" s="70" t="s">
        <v>58</v>
      </c>
      <c r="L4" s="32" t="s">
        <v>92</v>
      </c>
      <c r="M4" s="25" t="s">
        <v>82</v>
      </c>
    </row>
    <row r="5" spans="1:26" ht="61.5" customHeight="1" x14ac:dyDescent="0.25">
      <c r="C5" s="30" t="s">
        <v>95</v>
      </c>
      <c r="E5" s="31" t="s">
        <v>97</v>
      </c>
      <c r="F5" s="30" t="s">
        <v>86</v>
      </c>
      <c r="J5" s="70" t="s">
        <v>87</v>
      </c>
      <c r="L5" s="33" t="s">
        <v>93</v>
      </c>
      <c r="M5" s="25" t="s">
        <v>106</v>
      </c>
    </row>
    <row r="6" spans="1:26" ht="61.5" customHeight="1" x14ac:dyDescent="0.25">
      <c r="D6" s="31" t="s">
        <v>107</v>
      </c>
      <c r="J6" s="70" t="s">
        <v>99</v>
      </c>
      <c r="K6" s="60" t="s">
        <v>99</v>
      </c>
      <c r="L6" s="35" t="s">
        <v>102</v>
      </c>
      <c r="M6" s="25" t="s">
        <v>94</v>
      </c>
    </row>
    <row r="7" spans="1:26" ht="61.5" customHeight="1" x14ac:dyDescent="0.25">
      <c r="C7" s="31" t="s">
        <v>105</v>
      </c>
      <c r="D7" s="31" t="s">
        <v>108</v>
      </c>
      <c r="I7" s="31" t="s">
        <v>104</v>
      </c>
      <c r="J7" s="70" t="s">
        <v>109</v>
      </c>
      <c r="L7" s="35" t="s">
        <v>114</v>
      </c>
      <c r="M7" s="25" t="s">
        <v>94</v>
      </c>
    </row>
    <row r="8" spans="1:26" ht="61.5" customHeight="1" x14ac:dyDescent="0.25">
      <c r="C8" s="30" t="s">
        <v>128</v>
      </c>
      <c r="E8" s="30"/>
      <c r="J8" s="70" t="s">
        <v>125</v>
      </c>
      <c r="L8" s="35" t="s">
        <v>130</v>
      </c>
      <c r="M8" s="25" t="s">
        <v>106</v>
      </c>
    </row>
    <row r="9" spans="1:26" ht="61.5" customHeight="1" x14ac:dyDescent="0.25">
      <c r="C9" s="31" t="s">
        <v>137</v>
      </c>
      <c r="E9" s="31" t="s">
        <v>132</v>
      </c>
      <c r="J9" s="70" t="s">
        <v>131</v>
      </c>
      <c r="K9" s="60" t="s">
        <v>131</v>
      </c>
      <c r="L9" s="35" t="s">
        <v>136</v>
      </c>
      <c r="M9" s="25" t="s">
        <v>94</v>
      </c>
    </row>
    <row r="10" spans="1:26" s="57" customFormat="1" ht="61.5" customHeight="1" x14ac:dyDescent="0.25">
      <c r="A10" s="36"/>
      <c r="B10" s="36"/>
      <c r="C10" s="36"/>
      <c r="D10" s="36"/>
      <c r="E10" s="55" t="s">
        <v>147</v>
      </c>
      <c r="F10" s="36"/>
      <c r="G10" s="36"/>
      <c r="H10" s="36"/>
      <c r="I10" s="36"/>
      <c r="J10" s="70">
        <v>42529</v>
      </c>
      <c r="K10" s="60">
        <v>42529</v>
      </c>
      <c r="L10" s="35" t="s">
        <v>141</v>
      </c>
      <c r="M10" s="56" t="s">
        <v>94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148</v>
      </c>
      <c r="J11" s="70">
        <v>42621</v>
      </c>
      <c r="K11" s="60">
        <v>42712</v>
      </c>
      <c r="L11" s="35" t="s">
        <v>151</v>
      </c>
      <c r="M11" s="25" t="s">
        <v>94</v>
      </c>
    </row>
    <row r="12" spans="1:26" ht="61.5" customHeight="1" x14ac:dyDescent="0.25">
      <c r="B12" s="30" t="s">
        <v>164</v>
      </c>
      <c r="C12" s="55" t="s">
        <v>167</v>
      </c>
      <c r="E12" s="55" t="s">
        <v>163</v>
      </c>
      <c r="J12" s="70">
        <v>42651</v>
      </c>
      <c r="L12" s="35" t="s">
        <v>154</v>
      </c>
      <c r="M12" s="25" t="s">
        <v>106</v>
      </c>
    </row>
    <row r="13" spans="1:26" ht="77.25" customHeight="1" x14ac:dyDescent="0.25">
      <c r="C13" s="30" t="s">
        <v>182</v>
      </c>
      <c r="J13" s="70">
        <v>42712</v>
      </c>
      <c r="L13" s="35" t="s">
        <v>171</v>
      </c>
      <c r="M13" s="25" t="s">
        <v>106</v>
      </c>
    </row>
    <row r="14" spans="1:26" ht="77.25" customHeight="1" x14ac:dyDescent="0.25">
      <c r="B14" s="31" t="s">
        <v>218</v>
      </c>
      <c r="J14" s="70" t="s">
        <v>183</v>
      </c>
      <c r="K14" s="60" t="s">
        <v>193</v>
      </c>
      <c r="L14" s="35" t="s">
        <v>184</v>
      </c>
      <c r="M14" s="25" t="s">
        <v>94</v>
      </c>
    </row>
    <row r="15" spans="1:26" ht="77.25" customHeight="1" x14ac:dyDescent="0.25">
      <c r="B15" s="187" t="s">
        <v>196</v>
      </c>
      <c r="C15" s="187"/>
      <c r="E15" s="55" t="s">
        <v>197</v>
      </c>
      <c r="J15" s="70" t="s">
        <v>193</v>
      </c>
      <c r="L15" s="35" t="s">
        <v>195</v>
      </c>
      <c r="M15" s="25" t="s">
        <v>106</v>
      </c>
    </row>
    <row r="16" spans="1:26" ht="77.25" customHeight="1" x14ac:dyDescent="0.25">
      <c r="C16" s="30" t="s">
        <v>210</v>
      </c>
      <c r="J16" s="70" t="s">
        <v>209</v>
      </c>
      <c r="L16" s="35" t="s">
        <v>225</v>
      </c>
      <c r="M16" s="25" t="s">
        <v>106</v>
      </c>
    </row>
    <row r="17" spans="3:13" ht="77.25" customHeight="1" x14ac:dyDescent="0.25">
      <c r="C17" s="30" t="s">
        <v>229</v>
      </c>
      <c r="J17" s="70" t="s">
        <v>222</v>
      </c>
      <c r="L17" s="35" t="s">
        <v>224</v>
      </c>
      <c r="M17" s="25" t="s">
        <v>106</v>
      </c>
    </row>
    <row r="18" spans="3:13" ht="77.25" customHeight="1" x14ac:dyDescent="0.25">
      <c r="C18" s="55" t="s">
        <v>245</v>
      </c>
      <c r="E18" s="55" t="s">
        <v>238</v>
      </c>
      <c r="J18" s="70" t="s">
        <v>232</v>
      </c>
      <c r="L18" s="35" t="s">
        <v>233</v>
      </c>
      <c r="M18" s="25" t="s">
        <v>106</v>
      </c>
    </row>
    <row r="19" spans="3:13" ht="77.25" customHeight="1" x14ac:dyDescent="0.25">
      <c r="E19" s="30" t="s">
        <v>242</v>
      </c>
      <c r="J19" s="70" t="s">
        <v>239</v>
      </c>
      <c r="L19" s="35" t="s">
        <v>241</v>
      </c>
      <c r="M19" s="25" t="s">
        <v>82</v>
      </c>
    </row>
    <row r="20" spans="3:13" ht="77.25" customHeight="1" x14ac:dyDescent="0.25">
      <c r="C20" s="30"/>
      <c r="F20" s="75" t="s">
        <v>249</v>
      </c>
      <c r="J20" s="70" t="s">
        <v>246</v>
      </c>
      <c r="K20" s="60" t="s">
        <v>246</v>
      </c>
      <c r="L20" s="35" t="s">
        <v>247</v>
      </c>
      <c r="M20" s="25" t="s">
        <v>94</v>
      </c>
    </row>
    <row r="21" spans="3:13" ht="60" customHeight="1" x14ac:dyDescent="0.25">
      <c r="C21" s="77" t="s">
        <v>252</v>
      </c>
      <c r="J21" s="70" t="s">
        <v>251</v>
      </c>
      <c r="K21" s="60" t="s">
        <v>262</v>
      </c>
      <c r="L21" s="35" t="s">
        <v>265</v>
      </c>
      <c r="M21" s="25" t="s">
        <v>94</v>
      </c>
    </row>
    <row r="22" spans="3:13" ht="60" customHeight="1" x14ac:dyDescent="0.25">
      <c r="H22" s="77" t="s">
        <v>266</v>
      </c>
      <c r="J22" s="70" t="s">
        <v>262</v>
      </c>
      <c r="K22" s="60" t="s">
        <v>262</v>
      </c>
      <c r="L22" s="35" t="s">
        <v>264</v>
      </c>
      <c r="M22" s="25" t="s">
        <v>94</v>
      </c>
    </row>
    <row r="23" spans="3:13" ht="60" customHeight="1" x14ac:dyDescent="0.25">
      <c r="F23" s="78" t="s">
        <v>273</v>
      </c>
      <c r="J23" s="70" t="s">
        <v>269</v>
      </c>
      <c r="K23" s="60" t="s">
        <v>330</v>
      </c>
      <c r="L23" s="35" t="s">
        <v>272</v>
      </c>
      <c r="M23" s="25" t="s">
        <v>94</v>
      </c>
    </row>
    <row r="24" spans="3:13" ht="60" customHeight="1" x14ac:dyDescent="0.25">
      <c r="F24" s="30" t="s">
        <v>280</v>
      </c>
      <c r="J24" s="70" t="s">
        <v>276</v>
      </c>
      <c r="L24" s="35" t="s">
        <v>277</v>
      </c>
      <c r="M24" s="25" t="s">
        <v>106</v>
      </c>
    </row>
    <row r="25" spans="3:13" ht="60" customHeight="1" x14ac:dyDescent="0.25">
      <c r="E25" s="82" t="s">
        <v>288</v>
      </c>
      <c r="J25" s="70" t="s">
        <v>284</v>
      </c>
      <c r="K25" s="60" t="s">
        <v>284</v>
      </c>
      <c r="L25" s="35" t="s">
        <v>287</v>
      </c>
      <c r="M25" s="25" t="s">
        <v>94</v>
      </c>
    </row>
    <row r="26" spans="3:13" ht="60" customHeight="1" x14ac:dyDescent="0.25">
      <c r="F26" s="85" t="s">
        <v>303</v>
      </c>
      <c r="J26" s="70" t="s">
        <v>294</v>
      </c>
      <c r="K26" s="60" t="s">
        <v>330</v>
      </c>
      <c r="L26" s="35" t="s">
        <v>302</v>
      </c>
      <c r="M26" s="25" t="s">
        <v>94</v>
      </c>
    </row>
    <row r="27" spans="3:13" ht="54" customHeight="1" x14ac:dyDescent="0.25">
      <c r="F27" s="30" t="s">
        <v>315</v>
      </c>
      <c r="J27" s="70" t="s">
        <v>310</v>
      </c>
      <c r="L27" s="35" t="s">
        <v>314</v>
      </c>
      <c r="M27" s="25" t="s">
        <v>106</v>
      </c>
    </row>
    <row r="28" spans="3:13" ht="54" customHeight="1" x14ac:dyDescent="0.25">
      <c r="F28" s="30" t="s">
        <v>326</v>
      </c>
      <c r="J28" s="70" t="s">
        <v>321</v>
      </c>
      <c r="L28" s="35" t="s">
        <v>325</v>
      </c>
      <c r="M28" s="25" t="s">
        <v>82</v>
      </c>
    </row>
    <row r="29" spans="3:13" ht="54" customHeight="1" x14ac:dyDescent="0.25">
      <c r="F29" s="85" t="s">
        <v>334</v>
      </c>
      <c r="J29" s="70" t="s">
        <v>330</v>
      </c>
      <c r="K29" s="60" t="s">
        <v>330</v>
      </c>
      <c r="L29" s="35" t="s">
        <v>331</v>
      </c>
      <c r="M29" s="25" t="s">
        <v>94</v>
      </c>
    </row>
    <row r="30" spans="3:13" ht="62.25" customHeight="1" x14ac:dyDescent="0.25">
      <c r="F30" s="86" t="s">
        <v>337</v>
      </c>
      <c r="J30" s="70">
        <v>42378</v>
      </c>
      <c r="K30" s="60">
        <v>42438</v>
      </c>
      <c r="L30" s="35" t="s">
        <v>335</v>
      </c>
      <c r="M30" s="25" t="s">
        <v>94</v>
      </c>
    </row>
    <row r="31" spans="3:13" ht="62.25" customHeight="1" x14ac:dyDescent="0.25">
      <c r="C31" s="30" t="s">
        <v>348</v>
      </c>
      <c r="E31" s="188" t="s">
        <v>348</v>
      </c>
      <c r="F31" s="188"/>
      <c r="H31" s="30" t="s">
        <v>348</v>
      </c>
      <c r="J31" s="70">
        <v>42469</v>
      </c>
      <c r="L31" s="35" t="s">
        <v>347</v>
      </c>
      <c r="M31" s="25" t="s">
        <v>82</v>
      </c>
    </row>
    <row r="32" spans="3:13" ht="62.25" customHeight="1" x14ac:dyDescent="0.25">
      <c r="E32" s="88" t="s">
        <v>361</v>
      </c>
      <c r="J32" s="70">
        <v>42499</v>
      </c>
      <c r="K32" s="60">
        <v>42499</v>
      </c>
      <c r="L32" s="35" t="s">
        <v>360</v>
      </c>
      <c r="M32" s="25" t="s">
        <v>106</v>
      </c>
    </row>
    <row r="33" spans="2:13" ht="62.25" customHeight="1" x14ac:dyDescent="0.25">
      <c r="C33" s="90" t="s">
        <v>365</v>
      </c>
      <c r="E33" s="90" t="s">
        <v>366</v>
      </c>
      <c r="J33" s="70">
        <v>42530</v>
      </c>
      <c r="L33" s="35" t="s">
        <v>364</v>
      </c>
      <c r="M33" s="25" t="s">
        <v>82</v>
      </c>
    </row>
    <row r="34" spans="2:13" ht="62.25" customHeight="1" x14ac:dyDescent="0.25">
      <c r="I34" s="91" t="s">
        <v>374</v>
      </c>
      <c r="J34" s="70">
        <v>42591</v>
      </c>
      <c r="L34" s="35" t="s">
        <v>376</v>
      </c>
      <c r="M34" s="25" t="s">
        <v>106</v>
      </c>
    </row>
    <row r="35" spans="2:13" ht="62.25" customHeight="1" x14ac:dyDescent="0.25">
      <c r="B35" s="189" t="s">
        <v>383</v>
      </c>
      <c r="C35" s="189"/>
      <c r="I35" s="92" t="s">
        <v>387</v>
      </c>
      <c r="J35" s="70">
        <v>42622</v>
      </c>
      <c r="L35" s="35" t="s">
        <v>382</v>
      </c>
      <c r="M35" s="25" t="s">
        <v>106</v>
      </c>
    </row>
    <row r="36" spans="2:13" ht="62.25" customHeight="1" x14ac:dyDescent="0.25">
      <c r="C36" s="98" t="s">
        <v>405</v>
      </c>
      <c r="J36" s="70">
        <v>42652</v>
      </c>
      <c r="L36" s="35" t="s">
        <v>404</v>
      </c>
      <c r="M36" s="25" t="s">
        <v>82</v>
      </c>
    </row>
    <row r="37" spans="2:13" ht="62.25" customHeight="1" x14ac:dyDescent="0.25">
      <c r="B37" s="101" t="s">
        <v>412</v>
      </c>
      <c r="J37" s="70">
        <v>42683</v>
      </c>
      <c r="L37" s="35" t="s">
        <v>411</v>
      </c>
      <c r="M37" s="25" t="s">
        <v>82</v>
      </c>
    </row>
    <row r="38" spans="2:13" ht="45" customHeight="1" x14ac:dyDescent="0.25">
      <c r="C38" s="104" t="s">
        <v>425</v>
      </c>
      <c r="J38" s="70">
        <v>42713</v>
      </c>
      <c r="L38" s="35" t="s">
        <v>423</v>
      </c>
      <c r="M38" s="25" t="s">
        <v>82</v>
      </c>
    </row>
    <row r="39" spans="2:13" ht="45" customHeight="1" x14ac:dyDescent="0.25">
      <c r="C39" s="117" t="s">
        <v>431</v>
      </c>
      <c r="E39" s="117" t="s">
        <v>431</v>
      </c>
      <c r="F39" s="106"/>
      <c r="J39" s="70" t="s">
        <v>428</v>
      </c>
      <c r="L39" s="35" t="s">
        <v>430</v>
      </c>
      <c r="M39" s="25" t="s">
        <v>94</v>
      </c>
    </row>
    <row r="40" spans="2:13" ht="45" customHeight="1" x14ac:dyDescent="0.25">
      <c r="C40" s="109" t="s">
        <v>436</v>
      </c>
      <c r="J40" s="70" t="s">
        <v>433</v>
      </c>
      <c r="K40" s="60" t="s">
        <v>433</v>
      </c>
      <c r="L40" s="35" t="s">
        <v>435</v>
      </c>
      <c r="M40" s="25" t="s">
        <v>94</v>
      </c>
    </row>
    <row r="41" spans="2:13" ht="45" customHeight="1" x14ac:dyDescent="0.25">
      <c r="E41" s="114" t="s">
        <v>451</v>
      </c>
      <c r="I41" s="114" t="s">
        <v>450</v>
      </c>
      <c r="J41" s="70" t="s">
        <v>448</v>
      </c>
      <c r="L41" s="35" t="s">
        <v>247</v>
      </c>
    </row>
  </sheetData>
  <mergeCells count="4">
    <mergeCell ref="A1:H1"/>
    <mergeCell ref="B15:C15"/>
    <mergeCell ref="E31:F31"/>
    <mergeCell ref="B35:C35"/>
  </mergeCells>
  <conditionalFormatting sqref="M1:M9 M11:M1048576">
    <cfRule type="cellIs" dxfId="48" priority="5" operator="equal">
      <formula>"Some"</formula>
    </cfRule>
    <cfRule type="cellIs" dxfId="47" priority="6" operator="equal">
      <formula>"Some"</formula>
    </cfRule>
    <cfRule type="cellIs" dxfId="46" priority="7" operator="equal">
      <formula>"No"</formula>
    </cfRule>
    <cfRule type="cellIs" dxfId="45" priority="8" operator="equal">
      <formula>"Yes"</formula>
    </cfRule>
  </conditionalFormatting>
  <conditionalFormatting sqref="M10">
    <cfRule type="cellIs" dxfId="44" priority="1" operator="equal">
      <formula>"Some"</formula>
    </cfRule>
  </conditionalFormatting>
  <conditionalFormatting sqref="M10">
    <cfRule type="cellIs" dxfId="43" priority="2" operator="equal">
      <formula>"Some"</formula>
    </cfRule>
  </conditionalFormatting>
  <conditionalFormatting sqref="M10">
    <cfRule type="cellIs" dxfId="42" priority="3" operator="equal">
      <formula>"No"</formula>
    </cfRule>
  </conditionalFormatting>
  <conditionalFormatting sqref="M10">
    <cfRule type="cellIs" dxfId="41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  <hyperlink ref="L18" location="Checklist!A82" display="Checklist!A82"/>
    <hyperlink ref="L19" location="Checklist!A86" display="Checklist!A86"/>
    <hyperlink ref="L20" location="Checklist!A87" display="Checklist!A87"/>
    <hyperlink ref="F20" r:id="rId1"/>
    <hyperlink ref="L22" location="Checklist!A97" display="Checklist!A97"/>
    <hyperlink ref="L21" location="Checklist!A89" display="Checklist!A89"/>
    <hyperlink ref="L23" location="Checklist!A98" display="Checklist!A98"/>
    <hyperlink ref="L24" location="Checklist!A101" display="Checklist!A101"/>
    <hyperlink ref="L25" location="Checklist!A104" display="Checklist!A104"/>
    <hyperlink ref="L26" location="Checklist!A105" display="Checklist!A105"/>
    <hyperlink ref="L27" location="Checklist!A112" display="Checklist!A112"/>
    <hyperlink ref="L28" location="Checklist!A118" display="Checklist!A118"/>
    <hyperlink ref="L29" location="Checklist!A123" display="Checklist!A123"/>
    <hyperlink ref="L30" location="Checklist!A124" display="Checklist!A124"/>
    <hyperlink ref="L31" location="Checklist!A132" display="Checklist!A132"/>
    <hyperlink ref="L32" location="Checklist!A145" display="Checklist!A145"/>
    <hyperlink ref="L33" location="Checklist!A146" display="Checklist!A146"/>
    <hyperlink ref="L34" location="Checklist!A152" display="Checklist!A152"/>
    <hyperlink ref="L35" location="Checklist!A155" display="Checklist!A155"/>
    <hyperlink ref="L36" location="Checklist!A161" display="Checklist!A161"/>
    <hyperlink ref="L37" location="Checklist!A167" display="Checklist!A167"/>
    <hyperlink ref="L38" location="Checklist!A173" display="Checklist!A173"/>
    <hyperlink ref="L39" location="Checklist!A175" display="Checklist!A175"/>
    <hyperlink ref="L40" location="Checklist!A176" display="Checklist!A176"/>
    <hyperlink ref="L41" location="Checklist!A87" display="Checklist!A87"/>
  </hyperlinks>
  <pageMargins left="0.7" right="0.7" top="0.75" bottom="0.75" header="0.3" footer="0.3"/>
  <pageSetup paperSize="9" orientation="portrait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90"/>
  <sheetViews>
    <sheetView workbookViewId="0">
      <pane xSplit="1" ySplit="2" topLeftCell="B182" activePane="bottomRight" state="frozen"/>
      <selection pane="topRight" activeCell="B1" sqref="B1"/>
      <selection pane="bottomLeft" activeCell="A3" sqref="A3"/>
      <selection pane="bottomRight" activeCell="A87" sqref="A87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83</v>
      </c>
      <c r="B2" s="64" t="s">
        <v>57</v>
      </c>
      <c r="C2" s="15" t="s">
        <v>56</v>
      </c>
      <c r="D2" s="26" t="s">
        <v>59</v>
      </c>
      <c r="E2" s="19" t="s">
        <v>69</v>
      </c>
      <c r="F2" s="68" t="s">
        <v>174</v>
      </c>
    </row>
    <row r="3" spans="1:6" ht="24" x14ac:dyDescent="0.2">
      <c r="A3" s="198" t="s">
        <v>52</v>
      </c>
      <c r="B3" s="197" t="s">
        <v>58</v>
      </c>
      <c r="C3" s="13" t="s">
        <v>74</v>
      </c>
      <c r="D3" s="27" t="s">
        <v>60</v>
      </c>
      <c r="E3" s="196" t="s">
        <v>70</v>
      </c>
    </row>
    <row r="4" spans="1:6" ht="12" customHeight="1" x14ac:dyDescent="0.2">
      <c r="A4" s="198"/>
      <c r="B4" s="197"/>
      <c r="C4" s="13" t="s">
        <v>61</v>
      </c>
      <c r="D4" s="27" t="s">
        <v>60</v>
      </c>
      <c r="E4" s="196"/>
    </row>
    <row r="5" spans="1:6" ht="12" customHeight="1" x14ac:dyDescent="0.2">
      <c r="A5" s="198"/>
      <c r="B5" s="197"/>
      <c r="C5" s="13" t="s">
        <v>62</v>
      </c>
      <c r="D5" s="27" t="s">
        <v>60</v>
      </c>
      <c r="E5" s="196"/>
    </row>
    <row r="6" spans="1:6" ht="12" customHeight="1" x14ac:dyDescent="0.2">
      <c r="A6" s="198"/>
      <c r="B6" s="197"/>
      <c r="C6" s="13" t="s">
        <v>63</v>
      </c>
      <c r="D6" s="27" t="s">
        <v>60</v>
      </c>
      <c r="E6" s="196"/>
    </row>
    <row r="7" spans="1:6" ht="12" customHeight="1" x14ac:dyDescent="0.2">
      <c r="A7" s="198"/>
      <c r="B7" s="197"/>
      <c r="C7" s="13" t="s">
        <v>71</v>
      </c>
      <c r="D7" s="27" t="s">
        <v>60</v>
      </c>
      <c r="E7" s="196"/>
    </row>
    <row r="8" spans="1:6" ht="12" customHeight="1" x14ac:dyDescent="0.2">
      <c r="A8" s="198"/>
      <c r="B8" s="197"/>
      <c r="C8" s="13" t="s">
        <v>66</v>
      </c>
      <c r="D8" s="27" t="s">
        <v>60</v>
      </c>
      <c r="E8" s="196"/>
    </row>
    <row r="9" spans="1:6" ht="12" customHeight="1" x14ac:dyDescent="0.2">
      <c r="A9" s="198"/>
      <c r="B9" s="197"/>
      <c r="C9" s="13" t="s">
        <v>65</v>
      </c>
      <c r="D9" s="27" t="s">
        <v>60</v>
      </c>
      <c r="E9" s="196"/>
    </row>
    <row r="10" spans="1:6" ht="15" customHeight="1" x14ac:dyDescent="0.2">
      <c r="A10" s="198"/>
      <c r="B10" s="197"/>
      <c r="C10" s="13" t="s">
        <v>72</v>
      </c>
      <c r="D10" s="27" t="s">
        <v>60</v>
      </c>
      <c r="E10" s="196"/>
    </row>
    <row r="11" spans="1:6" x14ac:dyDescent="0.2">
      <c r="A11" s="198"/>
      <c r="B11" s="66" t="s">
        <v>87</v>
      </c>
      <c r="C11" s="13" t="s">
        <v>73</v>
      </c>
      <c r="D11" s="27" t="s">
        <v>60</v>
      </c>
      <c r="E11" s="196"/>
    </row>
    <row r="12" spans="1:6" x14ac:dyDescent="0.2">
      <c r="A12" s="198" t="s">
        <v>58</v>
      </c>
      <c r="C12" s="13" t="s">
        <v>88</v>
      </c>
      <c r="D12" s="27" t="s">
        <v>64</v>
      </c>
      <c r="E12" s="196" t="s">
        <v>84</v>
      </c>
    </row>
    <row r="13" spans="1:6" ht="24" x14ac:dyDescent="0.2">
      <c r="A13" s="198"/>
      <c r="B13" s="67" t="s">
        <v>222</v>
      </c>
      <c r="C13" s="13" t="s">
        <v>89</v>
      </c>
      <c r="D13" s="27" t="s">
        <v>60</v>
      </c>
      <c r="E13" s="196"/>
    </row>
    <row r="14" spans="1:6" ht="24" x14ac:dyDescent="0.2">
      <c r="A14" s="198" t="s">
        <v>87</v>
      </c>
      <c r="B14" s="67">
        <v>42621</v>
      </c>
      <c r="C14" s="13" t="s">
        <v>124</v>
      </c>
      <c r="D14" s="27" t="s">
        <v>60</v>
      </c>
      <c r="E14" s="196" t="s">
        <v>90</v>
      </c>
    </row>
    <row r="15" spans="1:6" ht="24" x14ac:dyDescent="0.2">
      <c r="A15" s="198"/>
      <c r="C15" s="13" t="s">
        <v>91</v>
      </c>
      <c r="D15" s="27" t="s">
        <v>64</v>
      </c>
      <c r="E15" s="196"/>
    </row>
    <row r="16" spans="1:6" x14ac:dyDescent="0.2">
      <c r="A16" s="198"/>
      <c r="C16" s="13" t="s">
        <v>96</v>
      </c>
      <c r="D16" s="27" t="s">
        <v>64</v>
      </c>
      <c r="E16" s="196"/>
    </row>
    <row r="17" spans="1:5" ht="24" x14ac:dyDescent="0.2">
      <c r="A17" s="65" t="s">
        <v>99</v>
      </c>
      <c r="B17" s="67" t="s">
        <v>99</v>
      </c>
      <c r="C17" s="13" t="s">
        <v>100</v>
      </c>
      <c r="D17" s="27" t="s">
        <v>60</v>
      </c>
      <c r="E17" s="34" t="s">
        <v>101</v>
      </c>
    </row>
    <row r="18" spans="1:5" ht="24" x14ac:dyDescent="0.2">
      <c r="A18" s="199" t="s">
        <v>109</v>
      </c>
      <c r="B18" s="67">
        <v>42712</v>
      </c>
      <c r="C18" s="13" t="s">
        <v>110</v>
      </c>
      <c r="D18" s="27" t="s">
        <v>60</v>
      </c>
      <c r="E18" s="191" t="s">
        <v>113</v>
      </c>
    </row>
    <row r="19" spans="1:5" x14ac:dyDescent="0.2">
      <c r="A19" s="199"/>
      <c r="B19" s="67" t="s">
        <v>109</v>
      </c>
      <c r="C19" s="13" t="s">
        <v>111</v>
      </c>
      <c r="D19" s="27" t="s">
        <v>60</v>
      </c>
      <c r="E19" s="191"/>
    </row>
    <row r="20" spans="1:5" x14ac:dyDescent="0.2">
      <c r="A20" s="199"/>
      <c r="B20" s="67" t="s">
        <v>115</v>
      </c>
      <c r="C20" s="13" t="s">
        <v>112</v>
      </c>
      <c r="D20" s="27" t="s">
        <v>60</v>
      </c>
      <c r="E20" s="191"/>
    </row>
    <row r="21" spans="1:5" x14ac:dyDescent="0.2">
      <c r="A21" s="192" t="s">
        <v>125</v>
      </c>
      <c r="C21" s="13" t="s">
        <v>126</v>
      </c>
      <c r="D21" s="27" t="s">
        <v>64</v>
      </c>
      <c r="E21" s="191" t="s">
        <v>129</v>
      </c>
    </row>
    <row r="22" spans="1:5" x14ac:dyDescent="0.2">
      <c r="A22" s="192"/>
      <c r="C22" s="13" t="s">
        <v>127</v>
      </c>
      <c r="D22" s="27" t="s">
        <v>64</v>
      </c>
      <c r="E22" s="191"/>
    </row>
    <row r="23" spans="1:5" ht="15" customHeight="1" x14ac:dyDescent="0.2">
      <c r="A23" s="192" t="s">
        <v>131</v>
      </c>
      <c r="B23" s="190" t="s">
        <v>131</v>
      </c>
      <c r="C23" s="13" t="s">
        <v>133</v>
      </c>
      <c r="D23" s="27" t="s">
        <v>60</v>
      </c>
      <c r="E23" s="191" t="s">
        <v>135</v>
      </c>
    </row>
    <row r="24" spans="1:5" ht="15" customHeight="1" x14ac:dyDescent="0.2">
      <c r="A24" s="192"/>
      <c r="B24" s="190"/>
      <c r="C24" s="13" t="s">
        <v>134</v>
      </c>
      <c r="D24" s="27" t="s">
        <v>60</v>
      </c>
      <c r="E24" s="191"/>
    </row>
    <row r="25" spans="1:5" ht="15" customHeight="1" x14ac:dyDescent="0.2">
      <c r="A25" s="192"/>
      <c r="B25" s="190"/>
      <c r="C25" s="13" t="s">
        <v>138</v>
      </c>
      <c r="D25" s="27" t="s">
        <v>60</v>
      </c>
      <c r="E25" s="191"/>
    </row>
    <row r="26" spans="1:5" ht="12" customHeight="1" x14ac:dyDescent="0.2">
      <c r="A26" s="200">
        <v>42588</v>
      </c>
      <c r="B26" s="204">
        <v>42588</v>
      </c>
      <c r="C26" s="58" t="s">
        <v>142</v>
      </c>
      <c r="D26" s="59" t="s">
        <v>60</v>
      </c>
      <c r="E26" s="202" t="s">
        <v>143</v>
      </c>
    </row>
    <row r="27" spans="1:5" ht="12" customHeight="1" x14ac:dyDescent="0.2">
      <c r="A27" s="201"/>
      <c r="B27" s="204"/>
      <c r="C27" s="58" t="s">
        <v>144</v>
      </c>
      <c r="D27" s="59" t="s">
        <v>60</v>
      </c>
      <c r="E27" s="203"/>
    </row>
    <row r="28" spans="1:5" ht="15" customHeight="1" x14ac:dyDescent="0.2">
      <c r="A28" s="201"/>
      <c r="B28" s="204"/>
      <c r="C28" s="58" t="s">
        <v>145</v>
      </c>
      <c r="D28" s="59" t="s">
        <v>60</v>
      </c>
      <c r="E28" s="203"/>
    </row>
    <row r="29" spans="1:5" ht="15" customHeight="1" x14ac:dyDescent="0.2">
      <c r="A29" s="201"/>
      <c r="B29" s="204"/>
      <c r="C29" s="58" t="s">
        <v>146</v>
      </c>
      <c r="D29" s="59" t="s">
        <v>60</v>
      </c>
      <c r="E29" s="203"/>
    </row>
    <row r="30" spans="1:5" ht="24" x14ac:dyDescent="0.2">
      <c r="A30" s="192">
        <v>42621</v>
      </c>
      <c r="B30" s="67">
        <v>42712</v>
      </c>
      <c r="C30" s="13" t="s">
        <v>149</v>
      </c>
      <c r="D30" s="27" t="s">
        <v>60</v>
      </c>
      <c r="E30" s="191" t="s">
        <v>150</v>
      </c>
    </row>
    <row r="31" spans="1:5" ht="24" x14ac:dyDescent="0.2">
      <c r="A31" s="192"/>
      <c r="B31" s="67">
        <v>42712</v>
      </c>
      <c r="C31" s="13" t="s">
        <v>152</v>
      </c>
      <c r="D31" s="27" t="s">
        <v>60</v>
      </c>
      <c r="E31" s="191"/>
    </row>
    <row r="32" spans="1:5" ht="15" customHeight="1" x14ac:dyDescent="0.2">
      <c r="A32" s="192">
        <v>42651</v>
      </c>
      <c r="B32" s="190">
        <v>42651</v>
      </c>
      <c r="C32" s="13" t="s">
        <v>177</v>
      </c>
      <c r="D32" s="59" t="s">
        <v>60</v>
      </c>
      <c r="E32" s="195" t="s">
        <v>153</v>
      </c>
    </row>
    <row r="33" spans="1:6" ht="15" customHeight="1" x14ac:dyDescent="0.2">
      <c r="A33" s="192"/>
      <c r="B33" s="190"/>
      <c r="C33" s="13" t="s">
        <v>176</v>
      </c>
      <c r="D33" s="59" t="s">
        <v>60</v>
      </c>
      <c r="E33" s="195"/>
    </row>
    <row r="34" spans="1:6" ht="15" customHeight="1" x14ac:dyDescent="0.2">
      <c r="A34" s="192"/>
      <c r="B34" s="190"/>
      <c r="C34" s="13" t="s">
        <v>178</v>
      </c>
      <c r="D34" s="59" t="s">
        <v>60</v>
      </c>
      <c r="E34" s="195"/>
    </row>
    <row r="35" spans="1:6" ht="15" customHeight="1" x14ac:dyDescent="0.2">
      <c r="A35" s="192"/>
      <c r="B35" s="190"/>
      <c r="C35" s="13" t="s">
        <v>155</v>
      </c>
      <c r="D35" s="59" t="s">
        <v>60</v>
      </c>
      <c r="E35" s="195"/>
      <c r="F35" s="193" t="s">
        <v>175</v>
      </c>
    </row>
    <row r="36" spans="1:6" ht="20.25" customHeight="1" x14ac:dyDescent="0.2">
      <c r="A36" s="192"/>
      <c r="B36" s="190"/>
      <c r="C36" s="13" t="s">
        <v>156</v>
      </c>
      <c r="D36" s="59" t="s">
        <v>60</v>
      </c>
      <c r="E36" s="195"/>
      <c r="F36" s="194"/>
    </row>
    <row r="37" spans="1:6" ht="15" customHeight="1" x14ac:dyDescent="0.2">
      <c r="A37" s="192"/>
      <c r="B37" s="190"/>
      <c r="C37" s="13" t="s">
        <v>157</v>
      </c>
      <c r="D37" s="27" t="s">
        <v>60</v>
      </c>
      <c r="E37" s="195"/>
    </row>
    <row r="38" spans="1:6" ht="15" customHeight="1" x14ac:dyDescent="0.2">
      <c r="A38" s="192"/>
      <c r="B38" s="190"/>
      <c r="C38" s="13" t="s">
        <v>158</v>
      </c>
      <c r="D38" s="27" t="s">
        <v>60</v>
      </c>
      <c r="E38" s="195"/>
    </row>
    <row r="39" spans="1:6" x14ac:dyDescent="0.2">
      <c r="A39" s="192"/>
      <c r="C39" s="13" t="s">
        <v>162</v>
      </c>
      <c r="D39" s="27" t="s">
        <v>64</v>
      </c>
      <c r="E39" s="195"/>
    </row>
    <row r="40" spans="1:6" x14ac:dyDescent="0.2">
      <c r="A40" s="192"/>
      <c r="B40" s="67" t="s">
        <v>183</v>
      </c>
      <c r="C40" s="13" t="s">
        <v>161</v>
      </c>
      <c r="D40" s="27" t="s">
        <v>60</v>
      </c>
      <c r="E40" s="195"/>
    </row>
    <row r="41" spans="1:6" ht="15" customHeight="1" x14ac:dyDescent="0.2">
      <c r="A41" s="192"/>
      <c r="B41" s="190" t="s">
        <v>193</v>
      </c>
      <c r="C41" s="13" t="s">
        <v>159</v>
      </c>
      <c r="D41" s="27" t="s">
        <v>60</v>
      </c>
      <c r="E41" s="195"/>
    </row>
    <row r="42" spans="1:6" ht="15" customHeight="1" x14ac:dyDescent="0.2">
      <c r="A42" s="192"/>
      <c r="B42" s="190"/>
      <c r="C42" s="13" t="s">
        <v>160</v>
      </c>
      <c r="D42" s="27" t="s">
        <v>60</v>
      </c>
      <c r="E42" s="195"/>
    </row>
    <row r="43" spans="1:6" x14ac:dyDescent="0.2">
      <c r="A43" s="192"/>
      <c r="C43" s="13" t="s">
        <v>165</v>
      </c>
      <c r="D43" s="27" t="s">
        <v>120</v>
      </c>
      <c r="E43" s="195"/>
    </row>
    <row r="44" spans="1:6" x14ac:dyDescent="0.2">
      <c r="A44" s="192"/>
      <c r="C44" s="13" t="s">
        <v>166</v>
      </c>
      <c r="D44" s="27" t="s">
        <v>120</v>
      </c>
      <c r="E44" s="195"/>
    </row>
    <row r="45" spans="1:6" x14ac:dyDescent="0.2">
      <c r="A45" s="192"/>
      <c r="B45" s="67">
        <v>42712</v>
      </c>
      <c r="C45" s="13" t="s">
        <v>168</v>
      </c>
      <c r="D45" s="27" t="s">
        <v>60</v>
      </c>
      <c r="E45" s="195"/>
    </row>
    <row r="46" spans="1:6" x14ac:dyDescent="0.2">
      <c r="A46" s="192">
        <v>42712</v>
      </c>
      <c r="C46" s="13" t="s">
        <v>169</v>
      </c>
      <c r="D46" s="27" t="s">
        <v>120</v>
      </c>
      <c r="E46" s="191" t="s">
        <v>170</v>
      </c>
    </row>
    <row r="47" spans="1:6" x14ac:dyDescent="0.2">
      <c r="A47" s="192"/>
      <c r="C47" s="13" t="s">
        <v>172</v>
      </c>
      <c r="D47" s="27" t="s">
        <v>120</v>
      </c>
      <c r="E47" s="191"/>
    </row>
    <row r="48" spans="1:6" ht="24" x14ac:dyDescent="0.2">
      <c r="A48" s="192"/>
      <c r="B48" s="190">
        <v>42712</v>
      </c>
      <c r="C48" s="13" t="s">
        <v>173</v>
      </c>
      <c r="D48" s="27" t="s">
        <v>60</v>
      </c>
      <c r="E48" s="191"/>
    </row>
    <row r="49" spans="1:5" ht="15" customHeight="1" x14ac:dyDescent="0.2">
      <c r="A49" s="192"/>
      <c r="B49" s="190"/>
      <c r="C49" s="13" t="s">
        <v>179</v>
      </c>
      <c r="D49" s="27" t="s">
        <v>60</v>
      </c>
      <c r="E49" s="191"/>
    </row>
    <row r="50" spans="1:5" ht="15" customHeight="1" x14ac:dyDescent="0.2">
      <c r="A50" s="192"/>
      <c r="B50" s="190"/>
      <c r="C50" s="13" t="s">
        <v>180</v>
      </c>
      <c r="D50" s="27" t="s">
        <v>60</v>
      </c>
      <c r="E50" s="191"/>
    </row>
    <row r="51" spans="1:5" ht="15" customHeight="1" x14ac:dyDescent="0.2">
      <c r="A51" s="192"/>
      <c r="B51" s="190"/>
      <c r="C51" s="13" t="s">
        <v>179</v>
      </c>
      <c r="D51" s="27" t="s">
        <v>60</v>
      </c>
      <c r="E51" s="191"/>
    </row>
    <row r="52" spans="1:5" ht="15" customHeight="1" x14ac:dyDescent="0.2">
      <c r="A52" s="192"/>
      <c r="B52" s="190"/>
      <c r="C52" s="13" t="s">
        <v>180</v>
      </c>
      <c r="D52" s="27" t="s">
        <v>60</v>
      </c>
      <c r="E52" s="191"/>
    </row>
    <row r="53" spans="1:5" ht="15" customHeight="1" x14ac:dyDescent="0.2">
      <c r="A53" s="192"/>
      <c r="B53" s="190"/>
      <c r="C53" s="13" t="s">
        <v>181</v>
      </c>
      <c r="D53" s="27" t="s">
        <v>60</v>
      </c>
      <c r="E53" s="191"/>
    </row>
    <row r="54" spans="1:5" ht="24" x14ac:dyDescent="0.2">
      <c r="A54" s="192" t="s">
        <v>187</v>
      </c>
      <c r="B54" s="71" t="s">
        <v>183</v>
      </c>
      <c r="C54" s="13" t="s">
        <v>185</v>
      </c>
      <c r="D54" s="27" t="s">
        <v>60</v>
      </c>
      <c r="E54" s="191" t="s">
        <v>217</v>
      </c>
    </row>
    <row r="55" spans="1:5" ht="15" customHeight="1" x14ac:dyDescent="0.2">
      <c r="A55" s="192"/>
      <c r="B55" s="73" t="s">
        <v>209</v>
      </c>
      <c r="C55" s="13" t="s">
        <v>186</v>
      </c>
      <c r="D55" s="27" t="s">
        <v>60</v>
      </c>
      <c r="E55" s="191"/>
    </row>
    <row r="56" spans="1:5" ht="15" customHeight="1" x14ac:dyDescent="0.2">
      <c r="A56" s="192"/>
      <c r="B56" s="190" t="s">
        <v>183</v>
      </c>
      <c r="C56" s="13" t="s">
        <v>188</v>
      </c>
      <c r="D56" s="27" t="s">
        <v>60</v>
      </c>
      <c r="E56" s="191"/>
    </row>
    <row r="57" spans="1:5" ht="15" customHeight="1" x14ac:dyDescent="0.2">
      <c r="A57" s="192"/>
      <c r="B57" s="190"/>
      <c r="C57" s="13" t="s">
        <v>189</v>
      </c>
      <c r="D57" s="27" t="s">
        <v>60</v>
      </c>
      <c r="E57" s="191"/>
    </row>
    <row r="58" spans="1:5" ht="15" customHeight="1" x14ac:dyDescent="0.2">
      <c r="A58" s="192"/>
      <c r="B58" s="190"/>
      <c r="C58" s="13" t="s">
        <v>190</v>
      </c>
      <c r="D58" s="27" t="s">
        <v>60</v>
      </c>
      <c r="E58" s="191"/>
    </row>
    <row r="59" spans="1:5" ht="15" customHeight="1" x14ac:dyDescent="0.2">
      <c r="A59" s="192"/>
      <c r="B59" s="190"/>
      <c r="C59" s="13" t="s">
        <v>192</v>
      </c>
      <c r="D59" s="27" t="s">
        <v>60</v>
      </c>
      <c r="E59" s="191"/>
    </row>
    <row r="60" spans="1:5" ht="15" customHeight="1" x14ac:dyDescent="0.2">
      <c r="A60" s="192"/>
      <c r="B60" s="190"/>
      <c r="C60" s="13" t="s">
        <v>191</v>
      </c>
      <c r="D60" s="27" t="s">
        <v>60</v>
      </c>
      <c r="E60" s="191"/>
    </row>
    <row r="61" spans="1:5" ht="15" customHeight="1" x14ac:dyDescent="0.2">
      <c r="A61" s="192" t="s">
        <v>193</v>
      </c>
      <c r="B61" s="190" t="s">
        <v>193</v>
      </c>
      <c r="C61" s="13" t="s">
        <v>199</v>
      </c>
      <c r="D61" s="27" t="s">
        <v>60</v>
      </c>
      <c r="E61" s="191" t="s">
        <v>194</v>
      </c>
    </row>
    <row r="62" spans="1:5" ht="15" customHeight="1" x14ac:dyDescent="0.2">
      <c r="A62" s="192"/>
      <c r="B62" s="190"/>
      <c r="C62" s="13" t="s">
        <v>198</v>
      </c>
      <c r="D62" s="27" t="s">
        <v>60</v>
      </c>
      <c r="E62" s="191"/>
    </row>
    <row r="63" spans="1:5" ht="15" customHeight="1" x14ac:dyDescent="0.2">
      <c r="A63" s="192"/>
      <c r="B63" s="190"/>
      <c r="C63" s="13" t="s">
        <v>200</v>
      </c>
      <c r="D63" s="27" t="s">
        <v>60</v>
      </c>
      <c r="E63" s="191"/>
    </row>
    <row r="64" spans="1:5" x14ac:dyDescent="0.2">
      <c r="A64" s="192"/>
      <c r="B64" s="67" t="s">
        <v>232</v>
      </c>
      <c r="C64" s="13" t="s">
        <v>201</v>
      </c>
      <c r="D64" s="27" t="s">
        <v>60</v>
      </c>
      <c r="E64" s="191"/>
    </row>
    <row r="65" spans="1:5" ht="15" customHeight="1" x14ac:dyDescent="0.2">
      <c r="A65" s="192"/>
      <c r="B65" s="190" t="s">
        <v>193</v>
      </c>
      <c r="C65" s="13" t="s">
        <v>205</v>
      </c>
      <c r="D65" s="27" t="s">
        <v>60</v>
      </c>
      <c r="E65" s="191"/>
    </row>
    <row r="66" spans="1:5" ht="15" customHeight="1" x14ac:dyDescent="0.2">
      <c r="A66" s="192"/>
      <c r="B66" s="190"/>
      <c r="C66" s="13" t="s">
        <v>202</v>
      </c>
      <c r="D66" s="27" t="s">
        <v>60</v>
      </c>
      <c r="E66" s="191"/>
    </row>
    <row r="67" spans="1:5" x14ac:dyDescent="0.2">
      <c r="A67" s="192"/>
      <c r="B67" s="67" t="s">
        <v>232</v>
      </c>
      <c r="C67" s="13" t="s">
        <v>203</v>
      </c>
      <c r="D67" s="27" t="s">
        <v>60</v>
      </c>
      <c r="E67" s="191"/>
    </row>
    <row r="68" spans="1:5" x14ac:dyDescent="0.2">
      <c r="A68" s="192"/>
      <c r="B68" s="67" t="s">
        <v>193</v>
      </c>
      <c r="C68" s="13" t="s">
        <v>204</v>
      </c>
      <c r="D68" s="27" t="s">
        <v>60</v>
      </c>
      <c r="E68" s="191"/>
    </row>
    <row r="69" spans="1:5" ht="24" x14ac:dyDescent="0.2">
      <c r="A69" s="192"/>
      <c r="B69" s="67" t="s">
        <v>251</v>
      </c>
      <c r="C69" s="72" t="s">
        <v>206</v>
      </c>
      <c r="D69" s="27" t="s">
        <v>60</v>
      </c>
      <c r="E69" s="191"/>
    </row>
    <row r="70" spans="1:5" x14ac:dyDescent="0.2">
      <c r="A70" s="192"/>
      <c r="C70" s="13" t="s">
        <v>207</v>
      </c>
      <c r="D70" s="27" t="s">
        <v>122</v>
      </c>
      <c r="E70" s="191"/>
    </row>
    <row r="71" spans="1:5" ht="24" x14ac:dyDescent="0.2">
      <c r="A71" s="192"/>
      <c r="C71" s="13" t="s">
        <v>208</v>
      </c>
      <c r="D71" s="27" t="s">
        <v>64</v>
      </c>
      <c r="E71" s="191"/>
    </row>
    <row r="72" spans="1:5" ht="15" customHeight="1" x14ac:dyDescent="0.2">
      <c r="A72" s="192" t="s">
        <v>209</v>
      </c>
      <c r="B72" s="190" t="s">
        <v>222</v>
      </c>
      <c r="C72" s="13" t="s">
        <v>211</v>
      </c>
      <c r="D72" s="27" t="s">
        <v>60</v>
      </c>
      <c r="E72" s="191" t="s">
        <v>215</v>
      </c>
    </row>
    <row r="73" spans="1:5" ht="15" customHeight="1" x14ac:dyDescent="0.2">
      <c r="A73" s="192"/>
      <c r="B73" s="190"/>
      <c r="C73" s="13" t="s">
        <v>212</v>
      </c>
      <c r="D73" s="27" t="s">
        <v>60</v>
      </c>
      <c r="E73" s="191"/>
    </row>
    <row r="74" spans="1:5" ht="15" customHeight="1" x14ac:dyDescent="0.2">
      <c r="A74" s="192"/>
      <c r="B74" s="190"/>
      <c r="C74" s="13" t="s">
        <v>213</v>
      </c>
      <c r="D74" s="27" t="s">
        <v>60</v>
      </c>
      <c r="E74" s="191"/>
    </row>
    <row r="75" spans="1:5" x14ac:dyDescent="0.2">
      <c r="A75" s="192"/>
      <c r="B75" s="67" t="s">
        <v>231</v>
      </c>
      <c r="C75" s="13" t="s">
        <v>214</v>
      </c>
      <c r="D75" s="27" t="s">
        <v>60</v>
      </c>
      <c r="E75" s="191"/>
    </row>
    <row r="76" spans="1:5" x14ac:dyDescent="0.2">
      <c r="A76" s="192"/>
      <c r="C76" s="13" t="s">
        <v>216</v>
      </c>
      <c r="D76" s="27" t="s">
        <v>120</v>
      </c>
      <c r="E76" s="191"/>
    </row>
    <row r="77" spans="1:5" x14ac:dyDescent="0.2">
      <c r="A77" s="192"/>
      <c r="B77" s="67" t="s">
        <v>209</v>
      </c>
      <c r="C77" s="13" t="s">
        <v>220</v>
      </c>
      <c r="D77" s="27" t="s">
        <v>60</v>
      </c>
      <c r="E77" s="191"/>
    </row>
    <row r="78" spans="1:5" ht="24" x14ac:dyDescent="0.2">
      <c r="A78" s="192" t="s">
        <v>222</v>
      </c>
      <c r="B78" s="67" t="s">
        <v>222</v>
      </c>
      <c r="C78" s="13" t="s">
        <v>221</v>
      </c>
      <c r="D78" s="27" t="s">
        <v>60</v>
      </c>
      <c r="E78" s="191" t="s">
        <v>223</v>
      </c>
    </row>
    <row r="79" spans="1:5" x14ac:dyDescent="0.2">
      <c r="A79" s="192"/>
      <c r="C79" s="13" t="s">
        <v>226</v>
      </c>
      <c r="D79" s="27" t="s">
        <v>64</v>
      </c>
      <c r="E79" s="191"/>
    </row>
    <row r="80" spans="1:5" ht="24" x14ac:dyDescent="0.2">
      <c r="A80" s="192"/>
      <c r="B80" s="190" t="s">
        <v>222</v>
      </c>
      <c r="C80" s="13" t="s">
        <v>228</v>
      </c>
      <c r="D80" s="27" t="s">
        <v>60</v>
      </c>
      <c r="E80" s="191"/>
    </row>
    <row r="81" spans="1:5" ht="24" x14ac:dyDescent="0.2">
      <c r="A81" s="192"/>
      <c r="B81" s="190"/>
      <c r="C81" s="13" t="s">
        <v>230</v>
      </c>
      <c r="D81" s="27" t="s">
        <v>60</v>
      </c>
      <c r="E81" s="191"/>
    </row>
    <row r="82" spans="1:5" ht="24" x14ac:dyDescent="0.2">
      <c r="A82" s="192" t="s">
        <v>232</v>
      </c>
      <c r="B82" s="190" t="s">
        <v>239</v>
      </c>
      <c r="C82" s="13" t="s">
        <v>235</v>
      </c>
      <c r="D82" s="27" t="s">
        <v>60</v>
      </c>
      <c r="E82" s="191" t="s">
        <v>234</v>
      </c>
    </row>
    <row r="83" spans="1:5" ht="24" x14ac:dyDescent="0.2">
      <c r="A83" s="192"/>
      <c r="B83" s="190"/>
      <c r="C83" s="13" t="s">
        <v>236</v>
      </c>
      <c r="D83" s="27" t="s">
        <v>60</v>
      </c>
      <c r="E83" s="191"/>
    </row>
    <row r="84" spans="1:5" ht="24" x14ac:dyDescent="0.2">
      <c r="A84" s="192"/>
      <c r="B84" s="67" t="s">
        <v>244</v>
      </c>
      <c r="C84" s="13" t="s">
        <v>237</v>
      </c>
      <c r="D84" s="27" t="s">
        <v>60</v>
      </c>
      <c r="E84" s="191"/>
    </row>
    <row r="85" spans="1:5" ht="24" x14ac:dyDescent="0.2">
      <c r="A85" s="192"/>
      <c r="C85" s="72" t="s">
        <v>268</v>
      </c>
      <c r="D85" s="27" t="s">
        <v>64</v>
      </c>
      <c r="E85" s="191"/>
    </row>
    <row r="86" spans="1:5" x14ac:dyDescent="0.2">
      <c r="A86" s="65" t="s">
        <v>239</v>
      </c>
      <c r="C86" s="13" t="s">
        <v>243</v>
      </c>
      <c r="D86" s="27" t="s">
        <v>64</v>
      </c>
      <c r="E86" s="74" t="s">
        <v>240</v>
      </c>
    </row>
    <row r="87" spans="1:5" x14ac:dyDescent="0.2">
      <c r="A87" s="80" t="s">
        <v>246</v>
      </c>
      <c r="B87" s="67" t="s">
        <v>246</v>
      </c>
      <c r="C87" s="13" t="s">
        <v>250</v>
      </c>
      <c r="D87" s="27" t="s">
        <v>60</v>
      </c>
      <c r="E87" s="79" t="s">
        <v>248</v>
      </c>
    </row>
    <row r="88" spans="1:5" ht="15" customHeight="1" x14ac:dyDescent="0.2">
      <c r="A88" s="192" t="s">
        <v>251</v>
      </c>
      <c r="B88" s="190" t="s">
        <v>251</v>
      </c>
      <c r="C88" s="13" t="s">
        <v>253</v>
      </c>
      <c r="D88" s="27" t="s">
        <v>60</v>
      </c>
      <c r="E88" s="191" t="s">
        <v>254</v>
      </c>
    </row>
    <row r="89" spans="1:5" ht="15" customHeight="1" x14ac:dyDescent="0.2">
      <c r="A89" s="192"/>
      <c r="B89" s="190"/>
      <c r="C89" s="13" t="s">
        <v>255</v>
      </c>
      <c r="D89" s="27" t="s">
        <v>60</v>
      </c>
      <c r="E89" s="191"/>
    </row>
    <row r="90" spans="1:5" ht="24" x14ac:dyDescent="0.2">
      <c r="A90" s="192"/>
      <c r="B90" s="190"/>
      <c r="C90" s="13" t="s">
        <v>258</v>
      </c>
      <c r="D90" s="27" t="s">
        <v>60</v>
      </c>
      <c r="E90" s="191"/>
    </row>
    <row r="91" spans="1:5" ht="15" customHeight="1" x14ac:dyDescent="0.2">
      <c r="A91" s="192"/>
      <c r="B91" s="190"/>
      <c r="C91" s="13" t="s">
        <v>257</v>
      </c>
      <c r="D91" s="27" t="s">
        <v>60</v>
      </c>
      <c r="E91" s="191"/>
    </row>
    <row r="92" spans="1:5" ht="24" x14ac:dyDescent="0.2">
      <c r="A92" s="192"/>
      <c r="B92" s="67" t="s">
        <v>262</v>
      </c>
      <c r="C92" s="13" t="s">
        <v>256</v>
      </c>
      <c r="D92" s="27" t="s">
        <v>60</v>
      </c>
      <c r="E92" s="191"/>
    </row>
    <row r="93" spans="1:5" ht="24" x14ac:dyDescent="0.2">
      <c r="A93" s="192"/>
      <c r="B93" s="190" t="s">
        <v>251</v>
      </c>
      <c r="C93" s="13" t="s">
        <v>259</v>
      </c>
      <c r="D93" s="27" t="s">
        <v>60</v>
      </c>
      <c r="E93" s="191"/>
    </row>
    <row r="94" spans="1:5" ht="24" x14ac:dyDescent="0.2">
      <c r="A94" s="192"/>
      <c r="B94" s="190"/>
      <c r="C94" s="13" t="s">
        <v>260</v>
      </c>
      <c r="D94" s="27" t="s">
        <v>60</v>
      </c>
      <c r="E94" s="191"/>
    </row>
    <row r="95" spans="1:5" ht="15" customHeight="1" x14ac:dyDescent="0.2">
      <c r="A95" s="192"/>
      <c r="B95" s="190"/>
      <c r="C95" s="13" t="s">
        <v>261</v>
      </c>
      <c r="D95" s="27" t="s">
        <v>60</v>
      </c>
      <c r="E95" s="191"/>
    </row>
    <row r="96" spans="1:5" x14ac:dyDescent="0.2">
      <c r="A96" s="65" t="s">
        <v>262</v>
      </c>
      <c r="B96" s="67" t="s">
        <v>262</v>
      </c>
      <c r="C96" s="13" t="s">
        <v>267</v>
      </c>
      <c r="D96" s="27" t="s">
        <v>60</v>
      </c>
      <c r="E96" s="76" t="s">
        <v>263</v>
      </c>
    </row>
    <row r="97" spans="1:5" ht="24" x14ac:dyDescent="0.2">
      <c r="A97" s="192" t="s">
        <v>269</v>
      </c>
      <c r="B97" s="190" t="s">
        <v>269</v>
      </c>
      <c r="C97" s="13" t="s">
        <v>270</v>
      </c>
      <c r="D97" s="27" t="s">
        <v>60</v>
      </c>
      <c r="E97" s="191" t="s">
        <v>271</v>
      </c>
    </row>
    <row r="98" spans="1:5" ht="15" customHeight="1" x14ac:dyDescent="0.2">
      <c r="A98" s="192"/>
      <c r="B98" s="190"/>
      <c r="C98" s="13" t="s">
        <v>274</v>
      </c>
      <c r="D98" s="27" t="s">
        <v>60</v>
      </c>
      <c r="E98" s="191"/>
    </row>
    <row r="99" spans="1:5" ht="24" x14ac:dyDescent="0.2">
      <c r="A99" s="192"/>
      <c r="B99" s="67" t="s">
        <v>330</v>
      </c>
      <c r="C99" s="13" t="s">
        <v>275</v>
      </c>
      <c r="D99" s="27" t="s">
        <v>60</v>
      </c>
      <c r="E99" s="191"/>
    </row>
    <row r="100" spans="1:5" x14ac:dyDescent="0.2">
      <c r="A100" s="192" t="s">
        <v>276</v>
      </c>
      <c r="B100" s="67" t="s">
        <v>276</v>
      </c>
      <c r="C100" s="13" t="s">
        <v>278</v>
      </c>
      <c r="D100" s="27" t="s">
        <v>60</v>
      </c>
      <c r="E100" s="191" t="s">
        <v>279</v>
      </c>
    </row>
    <row r="101" spans="1:5" x14ac:dyDescent="0.2">
      <c r="A101" s="192"/>
      <c r="B101" s="67" t="s">
        <v>330</v>
      </c>
      <c r="C101" s="13" t="s">
        <v>281</v>
      </c>
      <c r="D101" s="27" t="s">
        <v>60</v>
      </c>
      <c r="E101" s="191"/>
    </row>
    <row r="102" spans="1:5" x14ac:dyDescent="0.2">
      <c r="A102" s="192"/>
      <c r="C102" s="13" t="s">
        <v>282</v>
      </c>
      <c r="D102" s="27" t="s">
        <v>64</v>
      </c>
      <c r="E102" s="191"/>
    </row>
    <row r="103" spans="1:5" x14ac:dyDescent="0.2">
      <c r="A103" s="192"/>
      <c r="B103" s="67" t="s">
        <v>310</v>
      </c>
      <c r="C103" s="13" t="s">
        <v>283</v>
      </c>
      <c r="D103" s="27" t="s">
        <v>60</v>
      </c>
      <c r="E103" s="191"/>
    </row>
    <row r="104" spans="1:5" x14ac:dyDescent="0.2">
      <c r="A104" s="65" t="s">
        <v>284</v>
      </c>
      <c r="B104" s="67" t="s">
        <v>284</v>
      </c>
      <c r="C104" s="13" t="s">
        <v>285</v>
      </c>
      <c r="D104" s="27" t="s">
        <v>60</v>
      </c>
      <c r="E104" s="81" t="s">
        <v>286</v>
      </c>
    </row>
    <row r="105" spans="1:5" ht="15" customHeight="1" x14ac:dyDescent="0.2">
      <c r="A105" s="192" t="s">
        <v>294</v>
      </c>
      <c r="B105" s="190" t="s">
        <v>310</v>
      </c>
      <c r="C105" s="13" t="s">
        <v>309</v>
      </c>
      <c r="D105" s="27" t="s">
        <v>60</v>
      </c>
      <c r="E105" s="191" t="s">
        <v>295</v>
      </c>
    </row>
    <row r="106" spans="1:5" ht="15" customHeight="1" x14ac:dyDescent="0.2">
      <c r="A106" s="192"/>
      <c r="B106" s="190"/>
      <c r="C106" s="13" t="s">
        <v>296</v>
      </c>
      <c r="D106" s="27" t="s">
        <v>60</v>
      </c>
      <c r="E106" s="191"/>
    </row>
    <row r="107" spans="1:5" x14ac:dyDescent="0.2">
      <c r="A107" s="192"/>
      <c r="B107" s="67" t="s">
        <v>330</v>
      </c>
      <c r="C107" s="13" t="s">
        <v>297</v>
      </c>
      <c r="D107" s="27" t="s">
        <v>60</v>
      </c>
      <c r="E107" s="191"/>
    </row>
    <row r="108" spans="1:5" ht="15" customHeight="1" x14ac:dyDescent="0.2">
      <c r="A108" s="192"/>
      <c r="B108" s="190" t="s">
        <v>310</v>
      </c>
      <c r="C108" s="13" t="s">
        <v>298</v>
      </c>
      <c r="D108" s="27" t="s">
        <v>60</v>
      </c>
      <c r="E108" s="191"/>
    </row>
    <row r="109" spans="1:5" ht="15" customHeight="1" x14ac:dyDescent="0.2">
      <c r="A109" s="192"/>
      <c r="B109" s="190"/>
      <c r="C109" s="13" t="s">
        <v>300</v>
      </c>
      <c r="D109" s="27" t="s">
        <v>60</v>
      </c>
      <c r="E109" s="191"/>
    </row>
    <row r="110" spans="1:5" x14ac:dyDescent="0.2">
      <c r="A110" s="192"/>
      <c r="B110" s="67" t="s">
        <v>330</v>
      </c>
      <c r="C110" s="13" t="s">
        <v>301</v>
      </c>
      <c r="D110" s="27" t="s">
        <v>60</v>
      </c>
      <c r="E110" s="191"/>
    </row>
    <row r="111" spans="1:5" ht="15" customHeight="1" x14ac:dyDescent="0.2">
      <c r="A111" s="192"/>
      <c r="B111" s="190" t="s">
        <v>310</v>
      </c>
      <c r="C111" s="13" t="s">
        <v>299</v>
      </c>
      <c r="D111" s="27" t="s">
        <v>60</v>
      </c>
      <c r="E111" s="191"/>
    </row>
    <row r="112" spans="1:5" ht="15" customHeight="1" x14ac:dyDescent="0.2">
      <c r="A112" s="192" t="s">
        <v>310</v>
      </c>
      <c r="B112" s="190"/>
      <c r="C112" s="13" t="s">
        <v>311</v>
      </c>
      <c r="D112" s="27" t="s">
        <v>60</v>
      </c>
      <c r="E112" s="191" t="s">
        <v>313</v>
      </c>
    </row>
    <row r="113" spans="1:5" ht="15" customHeight="1" x14ac:dyDescent="0.2">
      <c r="A113" s="192"/>
      <c r="B113" s="190"/>
      <c r="C113" s="13" t="s">
        <v>312</v>
      </c>
      <c r="D113" s="27" t="s">
        <v>60</v>
      </c>
      <c r="E113" s="191"/>
    </row>
    <row r="114" spans="1:5" ht="15" customHeight="1" x14ac:dyDescent="0.2">
      <c r="A114" s="192"/>
      <c r="B114" s="190"/>
      <c r="C114" s="13" t="s">
        <v>316</v>
      </c>
      <c r="D114" s="27" t="s">
        <v>60</v>
      </c>
      <c r="E114" s="191"/>
    </row>
    <row r="115" spans="1:5" ht="15" customHeight="1" x14ac:dyDescent="0.2">
      <c r="A115" s="192"/>
      <c r="B115" s="190"/>
      <c r="C115" s="13" t="s">
        <v>317</v>
      </c>
      <c r="D115" s="27" t="s">
        <v>60</v>
      </c>
      <c r="E115" s="191"/>
    </row>
    <row r="116" spans="1:5" ht="15" customHeight="1" x14ac:dyDescent="0.2">
      <c r="A116" s="192"/>
      <c r="B116" s="190"/>
      <c r="C116" s="13" t="s">
        <v>318</v>
      </c>
      <c r="D116" s="27" t="s">
        <v>60</v>
      </c>
      <c r="E116" s="191"/>
    </row>
    <row r="117" spans="1:5" ht="24" x14ac:dyDescent="0.2">
      <c r="A117" s="192"/>
      <c r="C117" s="13" t="s">
        <v>319</v>
      </c>
      <c r="D117" s="27" t="s">
        <v>64</v>
      </c>
      <c r="E117" s="191"/>
    </row>
    <row r="118" spans="1:5" x14ac:dyDescent="0.2">
      <c r="A118" s="192" t="s">
        <v>321</v>
      </c>
      <c r="C118" s="13" t="s">
        <v>322</v>
      </c>
      <c r="D118" s="27" t="s">
        <v>122</v>
      </c>
      <c r="E118" s="191" t="s">
        <v>324</v>
      </c>
    </row>
    <row r="119" spans="1:5" x14ac:dyDescent="0.2">
      <c r="A119" s="192"/>
      <c r="C119" s="13" t="s">
        <v>323</v>
      </c>
      <c r="D119" s="27" t="s">
        <v>122</v>
      </c>
      <c r="E119" s="191"/>
    </row>
    <row r="120" spans="1:5" x14ac:dyDescent="0.2">
      <c r="A120" s="192"/>
      <c r="B120" s="67" t="s">
        <v>321</v>
      </c>
      <c r="C120" s="13" t="s">
        <v>327</v>
      </c>
      <c r="D120" s="27" t="s">
        <v>60</v>
      </c>
      <c r="E120" s="191"/>
    </row>
    <row r="121" spans="1:5" ht="24" x14ac:dyDescent="0.2">
      <c r="A121" s="192"/>
      <c r="B121" s="67" t="s">
        <v>330</v>
      </c>
      <c r="C121" s="13" t="s">
        <v>328</v>
      </c>
      <c r="D121" s="27" t="s">
        <v>60</v>
      </c>
      <c r="E121" s="191"/>
    </row>
    <row r="122" spans="1:5" ht="24" x14ac:dyDescent="0.2">
      <c r="A122" s="192"/>
      <c r="B122" s="67" t="s">
        <v>321</v>
      </c>
      <c r="C122" s="13" t="s">
        <v>329</v>
      </c>
      <c r="D122" s="27" t="s">
        <v>60</v>
      </c>
      <c r="E122" s="191"/>
    </row>
    <row r="123" spans="1:5" ht="24" x14ac:dyDescent="0.2">
      <c r="A123" s="65" t="s">
        <v>330</v>
      </c>
      <c r="B123" s="67" t="s">
        <v>330</v>
      </c>
      <c r="C123" s="13" t="s">
        <v>333</v>
      </c>
      <c r="D123" s="27" t="s">
        <v>60</v>
      </c>
      <c r="E123" s="84" t="s">
        <v>332</v>
      </c>
    </row>
    <row r="124" spans="1:5" ht="15" customHeight="1" x14ac:dyDescent="0.2">
      <c r="A124" s="192">
        <v>42378</v>
      </c>
      <c r="B124" s="190">
        <v>42378</v>
      </c>
      <c r="C124" s="13" t="s">
        <v>338</v>
      </c>
      <c r="D124" s="27" t="s">
        <v>60</v>
      </c>
      <c r="E124" s="191" t="s">
        <v>336</v>
      </c>
    </row>
    <row r="125" spans="1:5" ht="15" customHeight="1" x14ac:dyDescent="0.2">
      <c r="A125" s="192"/>
      <c r="B125" s="190"/>
      <c r="C125" s="13" t="s">
        <v>339</v>
      </c>
      <c r="D125" s="27" t="s">
        <v>60</v>
      </c>
      <c r="E125" s="191"/>
    </row>
    <row r="126" spans="1:5" ht="24" x14ac:dyDescent="0.2">
      <c r="A126" s="192"/>
      <c r="B126" s="190"/>
      <c r="C126" s="13" t="s">
        <v>340</v>
      </c>
      <c r="D126" s="27" t="s">
        <v>60</v>
      </c>
      <c r="E126" s="191"/>
    </row>
    <row r="127" spans="1:5" ht="24" x14ac:dyDescent="0.2">
      <c r="A127" s="192"/>
      <c r="B127" s="190"/>
      <c r="C127" s="13" t="s">
        <v>341</v>
      </c>
      <c r="D127" s="27" t="s">
        <v>60</v>
      </c>
      <c r="E127" s="191"/>
    </row>
    <row r="128" spans="1:5" ht="21" customHeight="1" x14ac:dyDescent="0.2">
      <c r="A128" s="192"/>
      <c r="B128" s="190">
        <v>42438</v>
      </c>
      <c r="C128" s="13" t="s">
        <v>342</v>
      </c>
      <c r="D128" s="27" t="s">
        <v>60</v>
      </c>
      <c r="E128" s="191"/>
    </row>
    <row r="129" spans="1:5" ht="21" customHeight="1" x14ac:dyDescent="0.2">
      <c r="A129" s="192"/>
      <c r="B129" s="190"/>
      <c r="C129" s="13" t="s">
        <v>343</v>
      </c>
      <c r="D129" s="27" t="s">
        <v>60</v>
      </c>
      <c r="E129" s="191"/>
    </row>
    <row r="130" spans="1:5" ht="21" customHeight="1" x14ac:dyDescent="0.2">
      <c r="A130" s="192"/>
      <c r="B130" s="190"/>
      <c r="C130" s="13" t="s">
        <v>344</v>
      </c>
      <c r="D130" s="27" t="s">
        <v>60</v>
      </c>
      <c r="E130" s="191"/>
    </row>
    <row r="131" spans="1:5" ht="21" customHeight="1" x14ac:dyDescent="0.2">
      <c r="A131" s="192"/>
      <c r="B131" s="190"/>
      <c r="C131" s="13" t="s">
        <v>345</v>
      </c>
      <c r="D131" s="27" t="s">
        <v>60</v>
      </c>
      <c r="E131" s="191"/>
    </row>
    <row r="132" spans="1:5" ht="15" customHeight="1" x14ac:dyDescent="0.2">
      <c r="A132" s="192">
        <v>42469</v>
      </c>
      <c r="B132" s="190">
        <v>42469</v>
      </c>
      <c r="C132" s="13" t="s">
        <v>349</v>
      </c>
      <c r="D132" s="27" t="s">
        <v>60</v>
      </c>
      <c r="E132" s="191" t="s">
        <v>346</v>
      </c>
    </row>
    <row r="133" spans="1:5" ht="15" customHeight="1" x14ac:dyDescent="0.2">
      <c r="A133" s="192"/>
      <c r="B133" s="190"/>
      <c r="C133" s="13" t="s">
        <v>350</v>
      </c>
      <c r="D133" s="27" t="s">
        <v>60</v>
      </c>
      <c r="E133" s="191"/>
    </row>
    <row r="134" spans="1:5" ht="15" customHeight="1" x14ac:dyDescent="0.2">
      <c r="A134" s="192"/>
      <c r="B134" s="190"/>
      <c r="C134" s="13" t="s">
        <v>356</v>
      </c>
      <c r="D134" s="27" t="s">
        <v>60</v>
      </c>
      <c r="E134" s="191"/>
    </row>
    <row r="135" spans="1:5" ht="15" customHeight="1" x14ac:dyDescent="0.2">
      <c r="A135" s="192"/>
      <c r="B135" s="190"/>
      <c r="C135" s="13" t="s">
        <v>351</v>
      </c>
      <c r="D135" s="27" t="s">
        <v>60</v>
      </c>
      <c r="E135" s="191"/>
    </row>
    <row r="136" spans="1:5" ht="15" customHeight="1" x14ac:dyDescent="0.2">
      <c r="A136" s="192"/>
      <c r="B136" s="190"/>
      <c r="C136" s="13" t="s">
        <v>352</v>
      </c>
      <c r="D136" s="27" t="s">
        <v>60</v>
      </c>
      <c r="E136" s="191"/>
    </row>
    <row r="137" spans="1:5" ht="15" customHeight="1" x14ac:dyDescent="0.2">
      <c r="A137" s="192"/>
      <c r="B137" s="190"/>
      <c r="C137" s="13" t="s">
        <v>353</v>
      </c>
      <c r="D137" s="27" t="s">
        <v>60</v>
      </c>
      <c r="E137" s="191"/>
    </row>
    <row r="138" spans="1:5" ht="15" customHeight="1" x14ac:dyDescent="0.2">
      <c r="A138" s="192"/>
      <c r="B138" s="190"/>
      <c r="C138" s="13" t="s">
        <v>354</v>
      </c>
      <c r="D138" s="27" t="s">
        <v>60</v>
      </c>
      <c r="E138" s="191"/>
    </row>
    <row r="139" spans="1:5" ht="36" x14ac:dyDescent="0.2">
      <c r="A139" s="192"/>
      <c r="B139" s="67">
        <v>42499</v>
      </c>
      <c r="C139" s="13" t="s">
        <v>355</v>
      </c>
      <c r="D139" s="27" t="s">
        <v>60</v>
      </c>
      <c r="E139" s="191"/>
    </row>
    <row r="140" spans="1:5" ht="24" x14ac:dyDescent="0.2">
      <c r="A140" s="192"/>
      <c r="C140" s="13" t="s">
        <v>427</v>
      </c>
      <c r="D140" s="27" t="s">
        <v>64</v>
      </c>
      <c r="E140" s="191"/>
    </row>
    <row r="141" spans="1:5" ht="24" x14ac:dyDescent="0.2">
      <c r="A141" s="192"/>
      <c r="C141" s="13" t="s">
        <v>426</v>
      </c>
      <c r="D141" s="27" t="s">
        <v>64</v>
      </c>
      <c r="E141" s="191"/>
    </row>
    <row r="142" spans="1:5" ht="36" x14ac:dyDescent="0.2">
      <c r="A142" s="192"/>
      <c r="C142" s="13" t="s">
        <v>358</v>
      </c>
      <c r="D142" s="27" t="s">
        <v>64</v>
      </c>
      <c r="E142" s="191"/>
    </row>
    <row r="143" spans="1:5" x14ac:dyDescent="0.2">
      <c r="A143" s="192"/>
      <c r="C143" s="72" t="s">
        <v>357</v>
      </c>
      <c r="D143" s="27" t="s">
        <v>64</v>
      </c>
      <c r="E143" s="191"/>
    </row>
    <row r="144" spans="1:5" ht="24" x14ac:dyDescent="0.2">
      <c r="A144" s="65">
        <v>42499</v>
      </c>
      <c r="B144" s="67">
        <v>42499</v>
      </c>
      <c r="C144" s="13" t="s">
        <v>362</v>
      </c>
      <c r="D144" s="27" t="s">
        <v>60</v>
      </c>
      <c r="E144" s="87" t="s">
        <v>359</v>
      </c>
    </row>
    <row r="145" spans="1:6" ht="16.5" customHeight="1" x14ac:dyDescent="0.2">
      <c r="A145" s="192">
        <v>42530</v>
      </c>
      <c r="C145" s="13" t="s">
        <v>367</v>
      </c>
      <c r="D145" s="27" t="s">
        <v>64</v>
      </c>
      <c r="E145" s="191" t="s">
        <v>363</v>
      </c>
      <c r="F145" s="205" t="s">
        <v>369</v>
      </c>
    </row>
    <row r="146" spans="1:6" ht="16.5" customHeight="1" x14ac:dyDescent="0.2">
      <c r="A146" s="192"/>
      <c r="B146" s="89"/>
      <c r="C146" s="13" t="s">
        <v>370</v>
      </c>
      <c r="D146" s="27" t="s">
        <v>64</v>
      </c>
      <c r="E146" s="191"/>
      <c r="F146" s="205"/>
    </row>
    <row r="147" spans="1:6" ht="16.5" customHeight="1" x14ac:dyDescent="0.2">
      <c r="A147" s="192"/>
      <c r="C147" s="13" t="s">
        <v>368</v>
      </c>
      <c r="D147" s="27" t="s">
        <v>64</v>
      </c>
      <c r="E147" s="191"/>
      <c r="F147" s="205"/>
    </row>
    <row r="148" spans="1:6" ht="16.5" customHeight="1" x14ac:dyDescent="0.2">
      <c r="A148" s="192"/>
      <c r="C148" s="13" t="s">
        <v>371</v>
      </c>
      <c r="D148" s="27" t="s">
        <v>64</v>
      </c>
      <c r="E148" s="191"/>
      <c r="F148" s="205"/>
    </row>
    <row r="149" spans="1:6" ht="16.5" customHeight="1" x14ac:dyDescent="0.2">
      <c r="A149" s="192"/>
      <c r="C149" s="13" t="s">
        <v>372</v>
      </c>
      <c r="D149" s="27" t="s">
        <v>64</v>
      </c>
      <c r="E149" s="191"/>
      <c r="F149" s="205"/>
    </row>
    <row r="150" spans="1:6" ht="16.5" customHeight="1" x14ac:dyDescent="0.2">
      <c r="A150" s="192"/>
      <c r="C150" s="13" t="s">
        <v>373</v>
      </c>
      <c r="D150" s="27" t="s">
        <v>64</v>
      </c>
      <c r="E150" s="191"/>
      <c r="F150" s="205"/>
    </row>
    <row r="151" spans="1:6" x14ac:dyDescent="0.2">
      <c r="A151" s="192">
        <v>42591</v>
      </c>
      <c r="C151" s="13" t="s">
        <v>377</v>
      </c>
      <c r="D151" s="27" t="s">
        <v>120</v>
      </c>
      <c r="E151" s="191" t="s">
        <v>375</v>
      </c>
    </row>
    <row r="152" spans="1:6" ht="24" x14ac:dyDescent="0.2">
      <c r="A152" s="192"/>
      <c r="C152" s="13" t="s">
        <v>378</v>
      </c>
      <c r="D152" s="27" t="s">
        <v>120</v>
      </c>
      <c r="E152" s="191"/>
    </row>
    <row r="153" spans="1:6" x14ac:dyDescent="0.2">
      <c r="A153" s="192"/>
      <c r="C153" s="72" t="s">
        <v>379</v>
      </c>
      <c r="D153" s="27" t="s">
        <v>122</v>
      </c>
      <c r="E153" s="191"/>
    </row>
    <row r="154" spans="1:6" ht="15" customHeight="1" x14ac:dyDescent="0.2">
      <c r="A154" s="192">
        <v>42622</v>
      </c>
      <c r="B154" s="190">
        <v>42622</v>
      </c>
      <c r="C154" s="13" t="s">
        <v>380</v>
      </c>
      <c r="D154" s="27" t="s">
        <v>60</v>
      </c>
      <c r="E154" s="191" t="s">
        <v>381</v>
      </c>
    </row>
    <row r="155" spans="1:6" ht="15" customHeight="1" x14ac:dyDescent="0.2">
      <c r="A155" s="192"/>
      <c r="B155" s="190"/>
      <c r="C155" s="13" t="s">
        <v>384</v>
      </c>
      <c r="D155" s="27" t="s">
        <v>60</v>
      </c>
      <c r="E155" s="191"/>
    </row>
    <row r="156" spans="1:6" ht="24" x14ac:dyDescent="0.2">
      <c r="A156" s="192"/>
      <c r="B156" s="190"/>
      <c r="C156" s="13" t="s">
        <v>400</v>
      </c>
      <c r="D156" s="27" t="s">
        <v>60</v>
      </c>
      <c r="E156" s="191"/>
      <c r="F156" s="99" t="s">
        <v>385</v>
      </c>
    </row>
    <row r="157" spans="1:6" x14ac:dyDescent="0.2">
      <c r="A157" s="192"/>
      <c r="B157" s="94"/>
      <c r="C157" s="13" t="s">
        <v>399</v>
      </c>
      <c r="D157" s="27" t="s">
        <v>64</v>
      </c>
      <c r="E157" s="191"/>
      <c r="F157" s="97"/>
    </row>
    <row r="158" spans="1:6" x14ac:dyDescent="0.2">
      <c r="A158" s="192"/>
      <c r="B158" s="67">
        <v>42683</v>
      </c>
      <c r="C158" s="13" t="s">
        <v>386</v>
      </c>
      <c r="D158" s="27" t="s">
        <v>122</v>
      </c>
      <c r="E158" s="191"/>
    </row>
    <row r="159" spans="1:6" x14ac:dyDescent="0.2">
      <c r="A159" s="192"/>
      <c r="B159" s="103">
        <v>42683</v>
      </c>
      <c r="C159" s="13" t="s">
        <v>398</v>
      </c>
      <c r="D159" s="27" t="s">
        <v>60</v>
      </c>
      <c r="E159" s="191"/>
    </row>
    <row r="160" spans="1:6" x14ac:dyDescent="0.2">
      <c r="A160" s="192">
        <v>42652</v>
      </c>
      <c r="B160" s="67">
        <v>42683</v>
      </c>
      <c r="C160" s="13" t="s">
        <v>402</v>
      </c>
      <c r="D160" s="27" t="s">
        <v>122</v>
      </c>
      <c r="E160" s="191" t="s">
        <v>401</v>
      </c>
    </row>
    <row r="161" spans="1:5" ht="24" x14ac:dyDescent="0.2">
      <c r="A161" s="192"/>
      <c r="C161" s="72" t="s">
        <v>408</v>
      </c>
      <c r="D161" s="27" t="s">
        <v>64</v>
      </c>
      <c r="E161" s="191"/>
    </row>
    <row r="162" spans="1:5" ht="24" x14ac:dyDescent="0.2">
      <c r="A162" s="192"/>
      <c r="C162" s="72" t="s">
        <v>407</v>
      </c>
      <c r="D162" s="27" t="s">
        <v>64</v>
      </c>
      <c r="E162" s="191"/>
    </row>
    <row r="163" spans="1:5" x14ac:dyDescent="0.2">
      <c r="A163" s="192"/>
      <c r="B163" s="67">
        <v>42713</v>
      </c>
      <c r="C163" s="72" t="s">
        <v>403</v>
      </c>
      <c r="D163" s="27" t="s">
        <v>60</v>
      </c>
      <c r="E163" s="191"/>
    </row>
    <row r="164" spans="1:5" x14ac:dyDescent="0.2">
      <c r="A164" s="192"/>
      <c r="B164" s="67">
        <v>42683</v>
      </c>
      <c r="C164" s="100" t="s">
        <v>406</v>
      </c>
      <c r="D164" s="27" t="s">
        <v>60</v>
      </c>
      <c r="E164" s="191"/>
    </row>
    <row r="165" spans="1:5" x14ac:dyDescent="0.2">
      <c r="A165" s="192">
        <v>42683</v>
      </c>
      <c r="C165" s="72" t="s">
        <v>409</v>
      </c>
      <c r="D165" s="27" t="s">
        <v>64</v>
      </c>
      <c r="E165" s="191" t="s">
        <v>410</v>
      </c>
    </row>
    <row r="166" spans="1:5" x14ac:dyDescent="0.2">
      <c r="A166" s="192"/>
      <c r="B166" s="67">
        <v>42683</v>
      </c>
      <c r="C166" s="13" t="s">
        <v>414</v>
      </c>
      <c r="D166" s="27" t="s">
        <v>60</v>
      </c>
      <c r="E166" s="191"/>
    </row>
    <row r="167" spans="1:5" x14ac:dyDescent="0.2">
      <c r="A167" s="192"/>
      <c r="B167" s="102">
        <v>42683</v>
      </c>
      <c r="C167" s="13" t="s">
        <v>413</v>
      </c>
      <c r="D167" s="27" t="s">
        <v>60</v>
      </c>
      <c r="E167" s="191"/>
    </row>
    <row r="168" spans="1:5" x14ac:dyDescent="0.2">
      <c r="A168" s="192"/>
      <c r="B168" s="102">
        <v>42683</v>
      </c>
      <c r="C168" s="13" t="s">
        <v>415</v>
      </c>
      <c r="D168" s="27" t="s">
        <v>60</v>
      </c>
      <c r="E168" s="191"/>
    </row>
    <row r="169" spans="1:5" x14ac:dyDescent="0.2">
      <c r="A169" s="192"/>
      <c r="C169" s="13" t="s">
        <v>416</v>
      </c>
      <c r="D169" s="27" t="s">
        <v>64</v>
      </c>
      <c r="E169" s="191"/>
    </row>
    <row r="170" spans="1:5" ht="24" x14ac:dyDescent="0.2">
      <c r="A170" s="192"/>
      <c r="C170" s="13" t="s">
        <v>417</v>
      </c>
      <c r="D170" s="27" t="s">
        <v>64</v>
      </c>
      <c r="E170" s="191"/>
    </row>
    <row r="171" spans="1:5" x14ac:dyDescent="0.2">
      <c r="A171" s="192"/>
      <c r="C171" s="13" t="s">
        <v>419</v>
      </c>
      <c r="D171" s="27" t="s">
        <v>64</v>
      </c>
      <c r="E171" s="191"/>
    </row>
    <row r="172" spans="1:5" x14ac:dyDescent="0.2">
      <c r="A172" s="192">
        <v>42713</v>
      </c>
      <c r="B172" s="105">
        <v>42713</v>
      </c>
      <c r="C172" s="13" t="s">
        <v>420</v>
      </c>
      <c r="D172" s="27" t="s">
        <v>60</v>
      </c>
      <c r="E172" s="191" t="s">
        <v>422</v>
      </c>
    </row>
    <row r="173" spans="1:5" ht="24" x14ac:dyDescent="0.2">
      <c r="A173" s="192"/>
      <c r="C173" s="13" t="s">
        <v>421</v>
      </c>
      <c r="D173" s="27" t="s">
        <v>64</v>
      </c>
      <c r="E173" s="191"/>
    </row>
    <row r="174" spans="1:5" ht="24" x14ac:dyDescent="0.2">
      <c r="A174" s="192"/>
      <c r="C174" s="72" t="s">
        <v>424</v>
      </c>
      <c r="D174" s="27" t="s">
        <v>64</v>
      </c>
      <c r="E174" s="191"/>
    </row>
    <row r="175" spans="1:5" ht="84" x14ac:dyDescent="0.2">
      <c r="A175" s="108" t="s">
        <v>428</v>
      </c>
      <c r="B175" s="107"/>
      <c r="C175" s="110" t="s">
        <v>432</v>
      </c>
      <c r="D175" s="27" t="s">
        <v>60</v>
      </c>
      <c r="E175" s="113" t="s">
        <v>429</v>
      </c>
    </row>
    <row r="176" spans="1:5" ht="15" customHeight="1" x14ac:dyDescent="0.2">
      <c r="A176" s="198" t="s">
        <v>433</v>
      </c>
      <c r="B176" s="197" t="s">
        <v>433</v>
      </c>
      <c r="C176" s="111" t="s">
        <v>438</v>
      </c>
      <c r="D176" s="112" t="s">
        <v>60</v>
      </c>
      <c r="E176" s="206" t="s">
        <v>434</v>
      </c>
    </row>
    <row r="177" spans="1:5" ht="15" customHeight="1" x14ac:dyDescent="0.2">
      <c r="A177" s="198"/>
      <c r="B177" s="197"/>
      <c r="C177" s="111" t="s">
        <v>437</v>
      </c>
      <c r="D177" s="112" t="s">
        <v>60</v>
      </c>
      <c r="E177" s="206"/>
    </row>
    <row r="178" spans="1:5" ht="15" customHeight="1" x14ac:dyDescent="0.2">
      <c r="A178" s="198"/>
      <c r="B178" s="197"/>
      <c r="C178" s="111" t="s">
        <v>439</v>
      </c>
      <c r="D178" s="112" t="s">
        <v>60</v>
      </c>
      <c r="E178" s="206"/>
    </row>
    <row r="179" spans="1:5" ht="15" customHeight="1" x14ac:dyDescent="0.2">
      <c r="A179" s="198"/>
      <c r="B179" s="197"/>
      <c r="C179" s="111" t="s">
        <v>440</v>
      </c>
      <c r="D179" s="112" t="s">
        <v>60</v>
      </c>
      <c r="E179" s="206"/>
    </row>
    <row r="180" spans="1:5" ht="15" customHeight="1" x14ac:dyDescent="0.2">
      <c r="A180" s="198"/>
      <c r="B180" s="197"/>
      <c r="C180" s="13" t="s">
        <v>441</v>
      </c>
      <c r="D180" s="27" t="s">
        <v>60</v>
      </c>
      <c r="E180" s="206"/>
    </row>
    <row r="181" spans="1:5" ht="24" x14ac:dyDescent="0.2">
      <c r="A181" s="198"/>
      <c r="B181" s="197"/>
      <c r="C181" s="13" t="s">
        <v>442</v>
      </c>
      <c r="D181" s="27" t="s">
        <v>60</v>
      </c>
      <c r="E181" s="206"/>
    </row>
    <row r="182" spans="1:5" ht="24" x14ac:dyDescent="0.2">
      <c r="A182" s="198"/>
      <c r="B182" s="197"/>
      <c r="C182" s="13" t="s">
        <v>443</v>
      </c>
      <c r="D182" s="27" t="s">
        <v>60</v>
      </c>
      <c r="E182" s="206"/>
    </row>
    <row r="183" spans="1:5" ht="24" x14ac:dyDescent="0.2">
      <c r="A183" s="198"/>
      <c r="B183" s="197"/>
      <c r="C183" s="13" t="s">
        <v>444</v>
      </c>
      <c r="D183" s="27" t="s">
        <v>60</v>
      </c>
      <c r="E183" s="206"/>
    </row>
    <row r="184" spans="1:5" ht="24" x14ac:dyDescent="0.2">
      <c r="A184" s="198"/>
      <c r="B184" s="197"/>
      <c r="C184" s="13" t="s">
        <v>445</v>
      </c>
      <c r="D184" s="27" t="s">
        <v>60</v>
      </c>
      <c r="E184" s="206"/>
    </row>
    <row r="185" spans="1:5" ht="15" customHeight="1" x14ac:dyDescent="0.2">
      <c r="A185" s="198"/>
      <c r="B185" s="197"/>
      <c r="C185" s="111" t="s">
        <v>446</v>
      </c>
      <c r="D185" s="27" t="s">
        <v>60</v>
      </c>
      <c r="E185" s="206"/>
    </row>
    <row r="186" spans="1:5" ht="15" customHeight="1" x14ac:dyDescent="0.2">
      <c r="A186" s="198"/>
      <c r="B186" s="197"/>
      <c r="C186" s="111" t="s">
        <v>447</v>
      </c>
      <c r="D186" s="27" t="s">
        <v>60</v>
      </c>
      <c r="E186" s="206"/>
    </row>
    <row r="187" spans="1:5" ht="36" x14ac:dyDescent="0.2">
      <c r="A187" s="192" t="s">
        <v>448</v>
      </c>
      <c r="B187" s="190" t="s">
        <v>452</v>
      </c>
      <c r="C187" s="13" t="s">
        <v>455</v>
      </c>
      <c r="D187" s="27" t="s">
        <v>60</v>
      </c>
      <c r="E187" s="191" t="s">
        <v>449</v>
      </c>
    </row>
    <row r="188" spans="1:5" ht="24" x14ac:dyDescent="0.2">
      <c r="A188" s="192"/>
      <c r="B188" s="190"/>
      <c r="C188" s="13" t="s">
        <v>454</v>
      </c>
      <c r="D188" s="27" t="s">
        <v>60</v>
      </c>
      <c r="E188" s="191"/>
    </row>
    <row r="189" spans="1:5" ht="15" customHeight="1" x14ac:dyDescent="0.2">
      <c r="A189" s="192"/>
      <c r="B189" s="190" t="s">
        <v>452</v>
      </c>
      <c r="C189" s="13" t="s">
        <v>453</v>
      </c>
      <c r="D189" s="27" t="s">
        <v>60</v>
      </c>
      <c r="E189" s="191"/>
    </row>
    <row r="190" spans="1:5" ht="24" x14ac:dyDescent="0.2">
      <c r="A190" s="192"/>
      <c r="B190" s="190"/>
      <c r="C190" s="13" t="s">
        <v>456</v>
      </c>
      <c r="D190" s="27" t="s">
        <v>60</v>
      </c>
      <c r="E190" s="191"/>
    </row>
  </sheetData>
  <mergeCells count="89">
    <mergeCell ref="E160:E164"/>
    <mergeCell ref="A160:A164"/>
    <mergeCell ref="E172:E174"/>
    <mergeCell ref="A187:A190"/>
    <mergeCell ref="E187:E190"/>
    <mergeCell ref="B189:B190"/>
    <mergeCell ref="A172:A174"/>
    <mergeCell ref="B187:B188"/>
    <mergeCell ref="E176:E186"/>
    <mergeCell ref="A176:A186"/>
    <mergeCell ref="B176:B186"/>
    <mergeCell ref="E165:E171"/>
    <mergeCell ref="A165:A171"/>
    <mergeCell ref="F145:F150"/>
    <mergeCell ref="A151:A153"/>
    <mergeCell ref="E151:E153"/>
    <mergeCell ref="E154:E159"/>
    <mergeCell ref="A154:A159"/>
    <mergeCell ref="B154:B156"/>
    <mergeCell ref="A145:A150"/>
    <mergeCell ref="E145:E150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  <mergeCell ref="E3:E11"/>
    <mergeCell ref="E12:E13"/>
    <mergeCell ref="B3:B10"/>
    <mergeCell ref="A3:A11"/>
    <mergeCell ref="A12:A13"/>
    <mergeCell ref="E54:E60"/>
    <mergeCell ref="E61:E71"/>
    <mergeCell ref="A61:A71"/>
    <mergeCell ref="B61:B63"/>
    <mergeCell ref="B65:B66"/>
    <mergeCell ref="A54:A60"/>
    <mergeCell ref="B56:B60"/>
    <mergeCell ref="F35:F36"/>
    <mergeCell ref="E46:E53"/>
    <mergeCell ref="A46:A53"/>
    <mergeCell ref="E32:E45"/>
    <mergeCell ref="A32:A45"/>
    <mergeCell ref="B32:B38"/>
    <mergeCell ref="B48:B53"/>
    <mergeCell ref="B41:B42"/>
    <mergeCell ref="B72:B74"/>
    <mergeCell ref="E72:E77"/>
    <mergeCell ref="A72:A77"/>
    <mergeCell ref="B88:B91"/>
    <mergeCell ref="B93:B95"/>
    <mergeCell ref="E88:E95"/>
    <mergeCell ref="A88:A95"/>
    <mergeCell ref="E78:E81"/>
    <mergeCell ref="A78:A81"/>
    <mergeCell ref="B80:B81"/>
    <mergeCell ref="B82:B83"/>
    <mergeCell ref="E82:E85"/>
    <mergeCell ref="A82:A85"/>
    <mergeCell ref="A118:A122"/>
    <mergeCell ref="E118:E122"/>
    <mergeCell ref="E97:E99"/>
    <mergeCell ref="B108:B109"/>
    <mergeCell ref="B105:B106"/>
    <mergeCell ref="A105:A111"/>
    <mergeCell ref="E105:E111"/>
    <mergeCell ref="A97:A99"/>
    <mergeCell ref="B97:B98"/>
    <mergeCell ref="E100:E103"/>
    <mergeCell ref="A100:A103"/>
    <mergeCell ref="B111:B116"/>
    <mergeCell ref="A112:A117"/>
    <mergeCell ref="E112:E117"/>
    <mergeCell ref="B128:B131"/>
    <mergeCell ref="E124:E131"/>
    <mergeCell ref="A124:A131"/>
    <mergeCell ref="B124:B127"/>
    <mergeCell ref="E132:E143"/>
    <mergeCell ref="A132:A143"/>
    <mergeCell ref="B132:B138"/>
  </mergeCells>
  <conditionalFormatting sqref="D1:D25 D30:D31 D37:D1048576">
    <cfRule type="cellIs" dxfId="40" priority="21" operator="equal">
      <formula>"Fixing"</formula>
    </cfRule>
    <cfRule type="cellIs" dxfId="39" priority="22" operator="equal">
      <formula>"Working"</formula>
    </cfRule>
    <cfRule type="cellIs" dxfId="38" priority="23" operator="equal">
      <formula>"Not started"</formula>
    </cfRule>
    <cfRule type="cellIs" dxfId="37" priority="24" operator="equal">
      <formula>"Completed"</formula>
    </cfRule>
    <cfRule type="cellIs" dxfId="36" priority="25" operator="equal">
      <formula>"Completed"</formula>
    </cfRule>
  </conditionalFormatting>
  <conditionalFormatting sqref="D26:D29">
    <cfRule type="cellIs" dxfId="35" priority="16" operator="equal">
      <formula>"Fixing"</formula>
    </cfRule>
  </conditionalFormatting>
  <conditionalFormatting sqref="D26:D29">
    <cfRule type="cellIs" dxfId="34" priority="17" operator="equal">
      <formula>"Working"</formula>
    </cfRule>
  </conditionalFormatting>
  <conditionalFormatting sqref="D26:D29">
    <cfRule type="cellIs" dxfId="33" priority="18" operator="equal">
      <formula>"Not started"</formula>
    </cfRule>
  </conditionalFormatting>
  <conditionalFormatting sqref="D26:D29">
    <cfRule type="cellIs" dxfId="32" priority="19" operator="equal">
      <formula>"Completed"</formula>
    </cfRule>
  </conditionalFormatting>
  <conditionalFormatting sqref="D26:D29">
    <cfRule type="cellIs" dxfId="31" priority="20" operator="equal">
      <formula>"Completed"</formula>
    </cfRule>
  </conditionalFormatting>
  <conditionalFormatting sqref="D32:D34">
    <cfRule type="cellIs" dxfId="30" priority="11" operator="equal">
      <formula>"Fixing"</formula>
    </cfRule>
  </conditionalFormatting>
  <conditionalFormatting sqref="D32:D34">
    <cfRule type="cellIs" dxfId="29" priority="12" operator="equal">
      <formula>"Working"</formula>
    </cfRule>
  </conditionalFormatting>
  <conditionalFormatting sqref="D32:D34">
    <cfRule type="cellIs" dxfId="28" priority="13" operator="equal">
      <formula>"Not started"</formula>
    </cfRule>
  </conditionalFormatting>
  <conditionalFormatting sqref="D32:D34">
    <cfRule type="cellIs" dxfId="27" priority="14" operator="equal">
      <formula>"Completed"</formula>
    </cfRule>
  </conditionalFormatting>
  <conditionalFormatting sqref="D32:D34">
    <cfRule type="cellIs" dxfId="26" priority="15" operator="equal">
      <formula>"Completed"</formula>
    </cfRule>
  </conditionalFormatting>
  <conditionalFormatting sqref="D35">
    <cfRule type="cellIs" dxfId="25" priority="6" operator="equal">
      <formula>"Fixing"</formula>
    </cfRule>
  </conditionalFormatting>
  <conditionalFormatting sqref="D35">
    <cfRule type="cellIs" dxfId="24" priority="7" operator="equal">
      <formula>"Working"</formula>
    </cfRule>
  </conditionalFormatting>
  <conditionalFormatting sqref="D35">
    <cfRule type="cellIs" dxfId="23" priority="8" operator="equal">
      <formula>"Not started"</formula>
    </cfRule>
  </conditionalFormatting>
  <conditionalFormatting sqref="D35">
    <cfRule type="cellIs" dxfId="22" priority="9" operator="equal">
      <formula>"Completed"</formula>
    </cfRule>
  </conditionalFormatting>
  <conditionalFormatting sqref="D35">
    <cfRule type="cellIs" dxfId="21" priority="10" operator="equal">
      <formula>"Completed"</formula>
    </cfRule>
  </conditionalFormatting>
  <conditionalFormatting sqref="D36">
    <cfRule type="cellIs" dxfId="20" priority="1" operator="equal">
      <formula>"Fixing"</formula>
    </cfRule>
  </conditionalFormatting>
  <conditionalFormatting sqref="D36">
    <cfRule type="cellIs" dxfId="19" priority="2" operator="equal">
      <formula>"Working"</formula>
    </cfRule>
  </conditionalFormatting>
  <conditionalFormatting sqref="D36">
    <cfRule type="cellIs" dxfId="18" priority="3" operator="equal">
      <formula>"Not started"</formula>
    </cfRule>
  </conditionalFormatting>
  <conditionalFormatting sqref="D36">
    <cfRule type="cellIs" dxfId="17" priority="4" operator="equal">
      <formula>"Completed"</formula>
    </cfRule>
  </conditionalFormatting>
  <conditionalFormatting sqref="D36">
    <cfRule type="cellIs" dxfId="16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  <hyperlink ref="E82" location="Planning!J18" display="Planning!J18"/>
    <hyperlink ref="E86" location="Planning!J19" display="Planning!J19"/>
    <hyperlink ref="E87" location="Planning!J20" display="Planning!J20"/>
    <hyperlink ref="E88" location="Planning!J21" display="Planning!J21"/>
    <hyperlink ref="E96" location="Planning!J22" display="Planning!J22"/>
    <hyperlink ref="E97" location="Planning!J23" display="Planning!J23"/>
    <hyperlink ref="E100" location="Planning!J24" display="Planning!J24"/>
    <hyperlink ref="E104" location="Planning!J25" display="Planning!J25"/>
    <hyperlink ref="E105:E111" location="Planning!J26" display="Planning!J26"/>
    <hyperlink ref="E112:E113" location="Planning!J27" display="Planning!J27"/>
    <hyperlink ref="E118" location="Planning!J28" display="Planning!J28"/>
    <hyperlink ref="E123" location="Planning!J29" display="Planning!J29"/>
    <hyperlink ref="E124" location="Planning!J30" display="Planning!J30"/>
    <hyperlink ref="E132" location="Planning!J31" display="Planning!J31"/>
    <hyperlink ref="E144" location="Planning!J32" display="Planning!J32"/>
    <hyperlink ref="E145" location="Planning!J33" display="Planning!J33"/>
    <hyperlink ref="E151" location="Planning!J34" display="Planning!J34"/>
    <hyperlink ref="E154" location="Checklist!J35" display="Checklist!J35"/>
    <hyperlink ref="E154:E155" location="Planning!J35" display="Planning!J35"/>
    <hyperlink ref="E160" location="Planning!J36" display="Planning!J36"/>
    <hyperlink ref="E165" location="Planning!J37" display="Planning!J37"/>
    <hyperlink ref="E172:E173" location="Planning!J38" display="Planning!J38"/>
    <hyperlink ref="E175" location="Planning!J39" display="Planning!J39"/>
    <hyperlink ref="E176" location="Planning!J40" display="Planning!J40"/>
    <hyperlink ref="E187" location="Planning!J41" display="Planning!J41"/>
  </hyperlinks>
  <pageMargins left="0.7" right="0.7" top="0.75" bottom="0.75" header="0.3" footer="0.3"/>
  <pageSetup paperSize="9" orientation="portrait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74"/>
  <sheetViews>
    <sheetView tabSelected="1" workbookViewId="0">
      <pane ySplit="1" topLeftCell="A174" activePane="bottomLeft" state="frozen"/>
      <selection pane="bottomLeft" activeCell="D176" sqref="D176"/>
    </sheetView>
  </sheetViews>
  <sheetFormatPr defaultRowHeight="15" x14ac:dyDescent="0.25"/>
  <cols>
    <col min="1" max="1" width="44" style="140" customWidth="1"/>
    <col min="2" max="2" width="16.85546875" style="119" customWidth="1"/>
    <col min="3" max="3" width="18" style="119" customWidth="1"/>
    <col min="4" max="4" width="34.42578125" style="149" customWidth="1"/>
    <col min="5" max="5" width="13" style="147" customWidth="1"/>
    <col min="6" max="6" width="16.7109375" style="147" customWidth="1"/>
  </cols>
  <sheetData>
    <row r="1" spans="1:9" x14ac:dyDescent="0.25">
      <c r="A1" s="139" t="s">
        <v>468</v>
      </c>
      <c r="B1" s="121" t="s">
        <v>469</v>
      </c>
      <c r="C1" s="121" t="s">
        <v>59</v>
      </c>
      <c r="D1" s="139" t="s">
        <v>174</v>
      </c>
      <c r="E1" s="146" t="s">
        <v>553</v>
      </c>
      <c r="F1" s="146" t="s">
        <v>555</v>
      </c>
    </row>
    <row r="2" spans="1:9" ht="60" x14ac:dyDescent="0.25">
      <c r="A2" s="140" t="s">
        <v>472</v>
      </c>
      <c r="B2" s="119" t="s">
        <v>607</v>
      </c>
      <c r="C2" s="119" t="s">
        <v>471</v>
      </c>
      <c r="D2" s="154" t="s">
        <v>614</v>
      </c>
      <c r="E2" s="214" t="s">
        <v>554</v>
      </c>
      <c r="F2" s="153" t="s">
        <v>554</v>
      </c>
      <c r="H2" s="212" t="s">
        <v>482</v>
      </c>
      <c r="I2" s="213"/>
    </row>
    <row r="3" spans="1:9" x14ac:dyDescent="0.25">
      <c r="A3" s="140" t="s">
        <v>473</v>
      </c>
      <c r="B3" s="158" t="s">
        <v>607</v>
      </c>
      <c r="C3" s="119" t="s">
        <v>40</v>
      </c>
      <c r="E3" s="214"/>
      <c r="H3" s="213"/>
      <c r="I3" s="213"/>
    </row>
    <row r="4" spans="1:9" ht="90" x14ac:dyDescent="0.25">
      <c r="A4" s="140" t="s">
        <v>474</v>
      </c>
      <c r="B4" s="158" t="s">
        <v>607</v>
      </c>
      <c r="C4" s="119" t="s">
        <v>471</v>
      </c>
      <c r="D4" s="160" t="s">
        <v>615</v>
      </c>
      <c r="E4" s="214"/>
      <c r="F4" s="219" t="s">
        <v>554</v>
      </c>
    </row>
    <row r="5" spans="1:9" ht="45" x14ac:dyDescent="0.25">
      <c r="A5" s="140" t="s">
        <v>475</v>
      </c>
      <c r="B5" s="158" t="s">
        <v>607</v>
      </c>
      <c r="C5" s="119" t="s">
        <v>471</v>
      </c>
      <c r="D5" s="154" t="s">
        <v>616</v>
      </c>
      <c r="E5" s="214"/>
      <c r="F5" s="219"/>
    </row>
    <row r="6" spans="1:9" x14ac:dyDescent="0.25">
      <c r="A6" s="140" t="s">
        <v>476</v>
      </c>
      <c r="B6" s="158" t="s">
        <v>607</v>
      </c>
      <c r="C6" s="119" t="s">
        <v>40</v>
      </c>
      <c r="E6" s="214"/>
    </row>
    <row r="7" spans="1:9" ht="30" x14ac:dyDescent="0.25">
      <c r="A7" s="140" t="s">
        <v>477</v>
      </c>
      <c r="B7" s="158" t="s">
        <v>607</v>
      </c>
      <c r="C7" s="119" t="s">
        <v>471</v>
      </c>
      <c r="D7" s="154" t="s">
        <v>617</v>
      </c>
      <c r="E7" s="214"/>
      <c r="F7" s="153" t="s">
        <v>554</v>
      </c>
    </row>
    <row r="8" spans="1:9" x14ac:dyDescent="0.25">
      <c r="A8" s="140" t="s">
        <v>478</v>
      </c>
      <c r="B8" s="158" t="s">
        <v>607</v>
      </c>
      <c r="C8" s="119" t="s">
        <v>40</v>
      </c>
      <c r="E8" s="214"/>
    </row>
    <row r="9" spans="1:9" ht="60" x14ac:dyDescent="0.25">
      <c r="A9" s="140" t="s">
        <v>479</v>
      </c>
      <c r="B9" s="158" t="s">
        <v>607</v>
      </c>
      <c r="C9" s="119" t="s">
        <v>471</v>
      </c>
      <c r="D9" s="151" t="s">
        <v>511</v>
      </c>
      <c r="E9" s="214"/>
      <c r="F9" s="219" t="s">
        <v>554</v>
      </c>
    </row>
    <row r="10" spans="1:9" ht="60" x14ac:dyDescent="0.25">
      <c r="A10" s="140" t="s">
        <v>480</v>
      </c>
      <c r="B10" s="158" t="s">
        <v>607</v>
      </c>
      <c r="C10" s="119" t="s">
        <v>471</v>
      </c>
      <c r="D10" s="160" t="s">
        <v>618</v>
      </c>
      <c r="E10" s="214"/>
      <c r="F10" s="219"/>
    </row>
    <row r="11" spans="1:9" x14ac:dyDescent="0.25">
      <c r="A11" s="140" t="s">
        <v>483</v>
      </c>
      <c r="B11" s="158" t="s">
        <v>607</v>
      </c>
      <c r="C11" s="119" t="s">
        <v>40</v>
      </c>
      <c r="E11" s="214"/>
    </row>
    <row r="12" spans="1:9" ht="45" x14ac:dyDescent="0.25">
      <c r="A12" s="140" t="s">
        <v>484</v>
      </c>
      <c r="B12" s="158" t="s">
        <v>607</v>
      </c>
      <c r="C12" s="119" t="s">
        <v>471</v>
      </c>
      <c r="D12" s="154" t="s">
        <v>619</v>
      </c>
      <c r="E12" s="214"/>
      <c r="F12" s="153" t="s">
        <v>554</v>
      </c>
    </row>
    <row r="13" spans="1:9" x14ac:dyDescent="0.25">
      <c r="A13" s="140" t="s">
        <v>485</v>
      </c>
      <c r="B13" s="158" t="s">
        <v>607</v>
      </c>
      <c r="C13" s="119" t="s">
        <v>40</v>
      </c>
      <c r="E13" s="214"/>
    </row>
    <row r="14" spans="1:9" ht="30" x14ac:dyDescent="0.25">
      <c r="A14" s="140" t="s">
        <v>486</v>
      </c>
      <c r="B14" s="158" t="s">
        <v>607</v>
      </c>
      <c r="C14" s="119" t="s">
        <v>40</v>
      </c>
      <c r="D14" s="151" t="s">
        <v>592</v>
      </c>
      <c r="E14" s="214"/>
    </row>
    <row r="15" spans="1:9" x14ac:dyDescent="0.25">
      <c r="A15" s="140" t="s">
        <v>487</v>
      </c>
      <c r="B15" s="158" t="s">
        <v>607</v>
      </c>
      <c r="C15" s="119" t="s">
        <v>40</v>
      </c>
      <c r="E15" s="214"/>
    </row>
    <row r="16" spans="1:9" x14ac:dyDescent="0.25">
      <c r="A16" s="140" t="s">
        <v>488</v>
      </c>
      <c r="B16" s="158" t="s">
        <v>607</v>
      </c>
      <c r="C16" s="119" t="s">
        <v>40</v>
      </c>
      <c r="E16" s="214"/>
    </row>
    <row r="17" spans="1:6" x14ac:dyDescent="0.25">
      <c r="A17" s="140" t="s">
        <v>489</v>
      </c>
      <c r="B17" s="158" t="s">
        <v>607</v>
      </c>
      <c r="C17" s="119" t="s">
        <v>40</v>
      </c>
      <c r="E17" s="214"/>
    </row>
    <row r="18" spans="1:6" x14ac:dyDescent="0.25">
      <c r="A18" s="140" t="s">
        <v>490</v>
      </c>
      <c r="B18" s="158" t="s">
        <v>607</v>
      </c>
      <c r="C18" s="119" t="s">
        <v>40</v>
      </c>
      <c r="E18" s="214"/>
    </row>
    <row r="19" spans="1:6" ht="45" x14ac:dyDescent="0.25">
      <c r="A19" s="140" t="s">
        <v>491</v>
      </c>
      <c r="B19" s="158" t="s">
        <v>607</v>
      </c>
      <c r="C19" s="119" t="s">
        <v>471</v>
      </c>
      <c r="D19" s="163" t="s">
        <v>648</v>
      </c>
      <c r="E19" s="214"/>
      <c r="F19" s="162">
        <v>42411</v>
      </c>
    </row>
    <row r="20" spans="1:6" ht="75" x14ac:dyDescent="0.25">
      <c r="A20" s="140" t="s">
        <v>492</v>
      </c>
      <c r="B20" s="158" t="s">
        <v>607</v>
      </c>
      <c r="C20" s="119" t="s">
        <v>471</v>
      </c>
      <c r="D20" s="154" t="s">
        <v>620</v>
      </c>
      <c r="E20" s="214"/>
      <c r="F20" s="153" t="s">
        <v>554</v>
      </c>
    </row>
    <row r="21" spans="1:6" ht="45" x14ac:dyDescent="0.25">
      <c r="A21" s="140" t="s">
        <v>493</v>
      </c>
      <c r="B21" s="158" t="s">
        <v>607</v>
      </c>
      <c r="C21" s="119" t="s">
        <v>471</v>
      </c>
      <c r="D21" s="163" t="s">
        <v>664</v>
      </c>
      <c r="E21" s="214"/>
      <c r="F21" s="162">
        <v>42411</v>
      </c>
    </row>
    <row r="22" spans="1:6" x14ac:dyDescent="0.25">
      <c r="A22" s="140" t="s">
        <v>494</v>
      </c>
      <c r="B22" s="158" t="s">
        <v>607</v>
      </c>
      <c r="C22" s="119" t="s">
        <v>40</v>
      </c>
      <c r="D22" s="151" t="s">
        <v>499</v>
      </c>
      <c r="E22" s="214"/>
    </row>
    <row r="23" spans="1:6" x14ac:dyDescent="0.25">
      <c r="A23" s="140" t="s">
        <v>495</v>
      </c>
      <c r="B23" s="158" t="s">
        <v>607</v>
      </c>
      <c r="C23" s="119" t="s">
        <v>40</v>
      </c>
      <c r="E23" s="214"/>
    </row>
    <row r="24" spans="1:6" x14ac:dyDescent="0.25">
      <c r="A24" s="140" t="s">
        <v>496</v>
      </c>
      <c r="B24" s="158" t="s">
        <v>607</v>
      </c>
      <c r="C24" s="119" t="s">
        <v>40</v>
      </c>
      <c r="E24" s="214"/>
    </row>
    <row r="25" spans="1:6" x14ac:dyDescent="0.25">
      <c r="A25" s="140" t="s">
        <v>497</v>
      </c>
      <c r="B25" s="158" t="s">
        <v>607</v>
      </c>
      <c r="C25" s="119" t="s">
        <v>40</v>
      </c>
      <c r="E25" s="214"/>
    </row>
    <row r="26" spans="1:6" ht="75" x14ac:dyDescent="0.25">
      <c r="A26" s="140" t="s">
        <v>498</v>
      </c>
      <c r="B26" s="158" t="s">
        <v>607</v>
      </c>
      <c r="C26" s="119" t="s">
        <v>471</v>
      </c>
      <c r="D26" s="160" t="s">
        <v>621</v>
      </c>
      <c r="E26" s="214"/>
      <c r="F26" s="153" t="s">
        <v>554</v>
      </c>
    </row>
    <row r="27" spans="1:6" ht="45" x14ac:dyDescent="0.25">
      <c r="A27" s="140" t="s">
        <v>500</v>
      </c>
      <c r="B27" s="158" t="s">
        <v>607</v>
      </c>
      <c r="C27" s="119" t="s">
        <v>471</v>
      </c>
      <c r="D27" s="163" t="s">
        <v>665</v>
      </c>
      <c r="E27" s="214"/>
      <c r="F27" s="162">
        <v>42411</v>
      </c>
    </row>
    <row r="28" spans="1:6" ht="60" x14ac:dyDescent="0.25">
      <c r="A28" s="140" t="s">
        <v>501</v>
      </c>
      <c r="B28" s="158" t="s">
        <v>607</v>
      </c>
      <c r="C28" s="119" t="s">
        <v>471</v>
      </c>
      <c r="D28" s="154" t="s">
        <v>622</v>
      </c>
      <c r="E28" s="214"/>
      <c r="F28" s="153" t="s">
        <v>554</v>
      </c>
    </row>
    <row r="29" spans="1:6" x14ac:dyDescent="0.25">
      <c r="A29" s="140" t="s">
        <v>502</v>
      </c>
      <c r="B29" s="158" t="s">
        <v>607</v>
      </c>
      <c r="C29" s="119" t="s">
        <v>40</v>
      </c>
      <c r="E29" s="214"/>
    </row>
    <row r="30" spans="1:6" x14ac:dyDescent="0.25">
      <c r="A30" s="140" t="s">
        <v>503</v>
      </c>
      <c r="B30" s="158" t="s">
        <v>607</v>
      </c>
      <c r="C30" s="119" t="s">
        <v>40</v>
      </c>
      <c r="E30" s="214"/>
    </row>
    <row r="31" spans="1:6" x14ac:dyDescent="0.25">
      <c r="A31" s="140" t="s">
        <v>504</v>
      </c>
      <c r="B31" s="158" t="s">
        <v>607</v>
      </c>
      <c r="C31" s="119" t="s">
        <v>40</v>
      </c>
      <c r="E31" s="214"/>
    </row>
    <row r="32" spans="1:6" x14ac:dyDescent="0.25">
      <c r="A32" s="140" t="s">
        <v>505</v>
      </c>
      <c r="B32" s="158" t="s">
        <v>607</v>
      </c>
      <c r="C32" s="119" t="s">
        <v>40</v>
      </c>
      <c r="E32" s="214"/>
    </row>
    <row r="33" spans="1:5" x14ac:dyDescent="0.25">
      <c r="A33" s="140" t="s">
        <v>506</v>
      </c>
      <c r="B33" s="158" t="s">
        <v>607</v>
      </c>
      <c r="C33" s="119" t="s">
        <v>40</v>
      </c>
      <c r="E33" s="214"/>
    </row>
    <row r="34" spans="1:5" x14ac:dyDescent="0.25">
      <c r="A34" s="140" t="s">
        <v>507</v>
      </c>
      <c r="B34" s="158" t="s">
        <v>607</v>
      </c>
      <c r="C34" s="119" t="s">
        <v>40</v>
      </c>
      <c r="E34" s="214"/>
    </row>
    <row r="35" spans="1:5" x14ac:dyDescent="0.25">
      <c r="A35" s="140" t="s">
        <v>508</v>
      </c>
      <c r="B35" s="158" t="s">
        <v>607</v>
      </c>
      <c r="C35" s="119" t="s">
        <v>40</v>
      </c>
      <c r="E35" s="214"/>
    </row>
    <row r="36" spans="1:5" x14ac:dyDescent="0.25">
      <c r="A36" s="140" t="s">
        <v>509</v>
      </c>
      <c r="B36" s="158" t="s">
        <v>607</v>
      </c>
      <c r="C36" s="119" t="s">
        <v>40</v>
      </c>
      <c r="E36" s="214"/>
    </row>
    <row r="37" spans="1:5" x14ac:dyDescent="0.25">
      <c r="A37" s="140" t="s">
        <v>510</v>
      </c>
      <c r="B37" s="158" t="s">
        <v>607</v>
      </c>
      <c r="C37" s="119" t="s">
        <v>40</v>
      </c>
      <c r="E37" s="214"/>
    </row>
    <row r="38" spans="1:5" ht="30" x14ac:dyDescent="0.25">
      <c r="A38" s="140" t="s">
        <v>533</v>
      </c>
      <c r="B38" s="158" t="s">
        <v>607</v>
      </c>
      <c r="C38" s="143" t="s">
        <v>40</v>
      </c>
      <c r="E38" s="214"/>
    </row>
    <row r="39" spans="1:5" ht="30" x14ac:dyDescent="0.25">
      <c r="A39" s="140" t="s">
        <v>539</v>
      </c>
      <c r="B39" s="158" t="s">
        <v>607</v>
      </c>
      <c r="C39" s="143" t="s">
        <v>40</v>
      </c>
      <c r="E39" s="214"/>
    </row>
    <row r="40" spans="1:5" ht="30" x14ac:dyDescent="0.25">
      <c r="A40" s="140" t="s">
        <v>538</v>
      </c>
      <c r="B40" s="158" t="s">
        <v>607</v>
      </c>
      <c r="C40" s="143" t="s">
        <v>40</v>
      </c>
      <c r="E40" s="214"/>
    </row>
    <row r="41" spans="1:5" x14ac:dyDescent="0.25">
      <c r="A41" s="140" t="s">
        <v>537</v>
      </c>
      <c r="B41" s="158" t="s">
        <v>607</v>
      </c>
      <c r="C41" s="143" t="s">
        <v>40</v>
      </c>
      <c r="E41" s="214"/>
    </row>
    <row r="42" spans="1:5" ht="30" x14ac:dyDescent="0.25">
      <c r="A42" s="140" t="s">
        <v>536</v>
      </c>
      <c r="B42" s="158" t="s">
        <v>607</v>
      </c>
      <c r="C42" s="143" t="s">
        <v>40</v>
      </c>
      <c r="E42" s="214"/>
    </row>
    <row r="43" spans="1:5" ht="30" x14ac:dyDescent="0.25">
      <c r="A43" s="140" t="s">
        <v>535</v>
      </c>
      <c r="B43" s="158" t="s">
        <v>607</v>
      </c>
      <c r="C43" s="143" t="s">
        <v>40</v>
      </c>
      <c r="E43" s="214"/>
    </row>
    <row r="44" spans="1:5" x14ac:dyDescent="0.25">
      <c r="A44" s="140" t="s">
        <v>540</v>
      </c>
      <c r="B44" s="158" t="s">
        <v>607</v>
      </c>
      <c r="C44" s="143" t="s">
        <v>40</v>
      </c>
      <c r="E44" s="214"/>
    </row>
    <row r="45" spans="1:5" ht="30" x14ac:dyDescent="0.25">
      <c r="A45" s="140" t="s">
        <v>541</v>
      </c>
      <c r="B45" s="158" t="s">
        <v>607</v>
      </c>
      <c r="C45" s="143" t="s">
        <v>40</v>
      </c>
      <c r="E45" s="214"/>
    </row>
    <row r="46" spans="1:5" x14ac:dyDescent="0.25">
      <c r="A46" s="140" t="s">
        <v>534</v>
      </c>
      <c r="B46" s="158" t="s">
        <v>607</v>
      </c>
      <c r="C46" s="143" t="s">
        <v>40</v>
      </c>
      <c r="E46" s="214"/>
    </row>
    <row r="47" spans="1:5" x14ac:dyDescent="0.25">
      <c r="A47" s="140" t="s">
        <v>512</v>
      </c>
      <c r="B47" s="158" t="s">
        <v>607</v>
      </c>
      <c r="C47" s="119" t="s">
        <v>40</v>
      </c>
      <c r="E47" s="214"/>
    </row>
    <row r="48" spans="1:5" x14ac:dyDescent="0.25">
      <c r="A48" s="140" t="s">
        <v>513</v>
      </c>
      <c r="B48" s="158" t="s">
        <v>607</v>
      </c>
      <c r="C48" s="119" t="s">
        <v>40</v>
      </c>
      <c r="E48" s="214"/>
    </row>
    <row r="49" spans="1:6" x14ac:dyDescent="0.25">
      <c r="A49" s="140" t="s">
        <v>518</v>
      </c>
      <c r="B49" s="158" t="s">
        <v>607</v>
      </c>
      <c r="C49" s="119" t="s">
        <v>40</v>
      </c>
      <c r="E49" s="214"/>
    </row>
    <row r="50" spans="1:6" x14ac:dyDescent="0.25">
      <c r="A50" s="140" t="s">
        <v>519</v>
      </c>
      <c r="B50" s="158" t="s">
        <v>607</v>
      </c>
      <c r="C50" s="119" t="s">
        <v>40</v>
      </c>
      <c r="E50" s="214"/>
    </row>
    <row r="51" spans="1:6" x14ac:dyDescent="0.25">
      <c r="A51" s="140" t="s">
        <v>525</v>
      </c>
      <c r="B51" s="158" t="s">
        <v>607</v>
      </c>
      <c r="C51" s="119" t="s">
        <v>40</v>
      </c>
      <c r="E51" s="214"/>
    </row>
    <row r="52" spans="1:6" x14ac:dyDescent="0.25">
      <c r="A52" s="140" t="s">
        <v>517</v>
      </c>
      <c r="B52" s="158" t="s">
        <v>607</v>
      </c>
      <c r="C52" s="119" t="s">
        <v>40</v>
      </c>
      <c r="E52" s="214"/>
    </row>
    <row r="53" spans="1:6" x14ac:dyDescent="0.25">
      <c r="A53" s="140" t="s">
        <v>521</v>
      </c>
      <c r="B53" s="158" t="s">
        <v>607</v>
      </c>
      <c r="C53" s="142" t="s">
        <v>40</v>
      </c>
      <c r="E53" s="214"/>
    </row>
    <row r="54" spans="1:6" x14ac:dyDescent="0.25">
      <c r="A54" s="140" t="s">
        <v>516</v>
      </c>
      <c r="B54" s="158" t="s">
        <v>607</v>
      </c>
      <c r="C54" s="119" t="s">
        <v>40</v>
      </c>
      <c r="E54" s="214"/>
    </row>
    <row r="55" spans="1:6" ht="60" x14ac:dyDescent="0.25">
      <c r="A55" s="140" t="s">
        <v>514</v>
      </c>
      <c r="B55" s="158" t="s">
        <v>607</v>
      </c>
      <c r="C55" s="119" t="s">
        <v>470</v>
      </c>
      <c r="D55" s="168" t="s">
        <v>515</v>
      </c>
      <c r="E55" s="214"/>
    </row>
    <row r="56" spans="1:6" ht="75" x14ac:dyDescent="0.25">
      <c r="A56" s="140" t="s">
        <v>520</v>
      </c>
      <c r="B56" s="119" t="s">
        <v>606</v>
      </c>
      <c r="C56" s="119" t="s">
        <v>471</v>
      </c>
      <c r="D56" s="154" t="s">
        <v>560</v>
      </c>
      <c r="E56" s="214"/>
      <c r="F56" s="155" t="s">
        <v>623</v>
      </c>
    </row>
    <row r="57" spans="1:6" x14ac:dyDescent="0.25">
      <c r="A57" s="140" t="s">
        <v>522</v>
      </c>
      <c r="B57" s="119" t="s">
        <v>606</v>
      </c>
      <c r="C57" s="119" t="s">
        <v>40</v>
      </c>
      <c r="E57" s="214"/>
    </row>
    <row r="58" spans="1:6" x14ac:dyDescent="0.25">
      <c r="A58" s="140" t="s">
        <v>523</v>
      </c>
      <c r="B58" s="119" t="s">
        <v>605</v>
      </c>
      <c r="C58" s="119" t="s">
        <v>40</v>
      </c>
      <c r="E58" s="214"/>
    </row>
    <row r="59" spans="1:6" ht="135" x14ac:dyDescent="0.25">
      <c r="A59" s="140" t="s">
        <v>524</v>
      </c>
      <c r="B59" s="150" t="s">
        <v>605</v>
      </c>
      <c r="C59" s="119" t="s">
        <v>471</v>
      </c>
      <c r="D59" s="154" t="s">
        <v>624</v>
      </c>
      <c r="E59" s="214"/>
      <c r="F59" s="153" t="s">
        <v>554</v>
      </c>
    </row>
    <row r="60" spans="1:6" x14ac:dyDescent="0.25">
      <c r="A60" s="140" t="s">
        <v>526</v>
      </c>
      <c r="B60" s="119" t="s">
        <v>605</v>
      </c>
      <c r="C60" s="119" t="s">
        <v>40</v>
      </c>
      <c r="E60" s="214"/>
    </row>
    <row r="61" spans="1:6" x14ac:dyDescent="0.25">
      <c r="A61" s="140" t="s">
        <v>529</v>
      </c>
      <c r="B61" s="150" t="s">
        <v>605</v>
      </c>
      <c r="C61" s="119" t="s">
        <v>40</v>
      </c>
      <c r="E61" s="159" t="s">
        <v>558</v>
      </c>
    </row>
    <row r="62" spans="1:6" x14ac:dyDescent="0.25">
      <c r="A62" s="140" t="s">
        <v>527</v>
      </c>
      <c r="B62" s="150" t="s">
        <v>605</v>
      </c>
      <c r="C62" s="119" t="s">
        <v>40</v>
      </c>
      <c r="D62" s="151" t="s">
        <v>666</v>
      </c>
      <c r="E62"/>
    </row>
    <row r="63" spans="1:6" x14ac:dyDescent="0.25">
      <c r="A63" s="140" t="s">
        <v>528</v>
      </c>
      <c r="B63" s="150" t="s">
        <v>605</v>
      </c>
      <c r="C63" s="119" t="s">
        <v>64</v>
      </c>
      <c r="E63"/>
    </row>
    <row r="64" spans="1:6" ht="30" x14ac:dyDescent="0.25">
      <c r="A64" s="140" t="s">
        <v>530</v>
      </c>
      <c r="B64" s="150" t="s">
        <v>605</v>
      </c>
      <c r="C64" s="119" t="s">
        <v>40</v>
      </c>
      <c r="E64" s="152" t="s">
        <v>554</v>
      </c>
    </row>
    <row r="65" spans="1:6" x14ac:dyDescent="0.25">
      <c r="A65" s="140" t="s">
        <v>531</v>
      </c>
      <c r="B65" s="150" t="s">
        <v>605</v>
      </c>
      <c r="C65" s="119" t="s">
        <v>40</v>
      </c>
      <c r="E65" s="216" t="s">
        <v>558</v>
      </c>
    </row>
    <row r="66" spans="1:6" x14ac:dyDescent="0.25">
      <c r="A66" s="140" t="s">
        <v>531</v>
      </c>
      <c r="B66" s="119" t="s">
        <v>605</v>
      </c>
      <c r="C66" s="119" t="s">
        <v>40</v>
      </c>
      <c r="E66" s="217"/>
    </row>
    <row r="67" spans="1:6" ht="30" x14ac:dyDescent="0.25">
      <c r="A67" s="140" t="s">
        <v>532</v>
      </c>
      <c r="B67" s="144" t="s">
        <v>605</v>
      </c>
      <c r="C67" s="119" t="s">
        <v>40</v>
      </c>
      <c r="E67" s="214" t="s">
        <v>554</v>
      </c>
    </row>
    <row r="68" spans="1:6" ht="30" x14ac:dyDescent="0.25">
      <c r="A68" s="140" t="s">
        <v>532</v>
      </c>
      <c r="B68" s="119" t="s">
        <v>605</v>
      </c>
      <c r="C68" s="119" t="s">
        <v>40</v>
      </c>
      <c r="E68" s="214"/>
    </row>
    <row r="69" spans="1:6" x14ac:dyDescent="0.25">
      <c r="A69" s="140" t="s">
        <v>542</v>
      </c>
      <c r="B69" s="144" t="s">
        <v>606</v>
      </c>
      <c r="C69" s="119" t="s">
        <v>40</v>
      </c>
      <c r="E69" s="214"/>
    </row>
    <row r="70" spans="1:6" x14ac:dyDescent="0.25">
      <c r="A70" s="140" t="s">
        <v>543</v>
      </c>
      <c r="B70" s="158" t="s">
        <v>606</v>
      </c>
      <c r="C70" s="119" t="s">
        <v>40</v>
      </c>
      <c r="E70" s="214"/>
    </row>
    <row r="71" spans="1:6" x14ac:dyDescent="0.25">
      <c r="A71" s="140" t="s">
        <v>544</v>
      </c>
      <c r="B71" s="158" t="s">
        <v>606</v>
      </c>
      <c r="C71" s="119" t="s">
        <v>40</v>
      </c>
      <c r="E71" s="214"/>
    </row>
    <row r="72" spans="1:6" x14ac:dyDescent="0.25">
      <c r="A72" s="140" t="s">
        <v>545</v>
      </c>
      <c r="B72" s="158" t="s">
        <v>606</v>
      </c>
      <c r="C72" s="119" t="s">
        <v>40</v>
      </c>
      <c r="E72" s="214"/>
    </row>
    <row r="73" spans="1:6" ht="30" x14ac:dyDescent="0.25">
      <c r="A73" s="140" t="s">
        <v>546</v>
      </c>
      <c r="B73" s="158" t="s">
        <v>606</v>
      </c>
      <c r="C73" s="119" t="s">
        <v>40</v>
      </c>
      <c r="D73" s="151" t="s">
        <v>564</v>
      </c>
      <c r="E73" s="214"/>
    </row>
    <row r="74" spans="1:6" ht="60" x14ac:dyDescent="0.25">
      <c r="A74" s="140" t="s">
        <v>547</v>
      </c>
      <c r="B74" s="158" t="s">
        <v>606</v>
      </c>
      <c r="C74" s="119" t="s">
        <v>471</v>
      </c>
      <c r="D74" s="154" t="s">
        <v>609</v>
      </c>
      <c r="E74" s="214"/>
      <c r="F74" s="155">
        <v>42411</v>
      </c>
    </row>
    <row r="75" spans="1:6" x14ac:dyDescent="0.25">
      <c r="A75" s="140" t="s">
        <v>548</v>
      </c>
      <c r="B75" s="158" t="s">
        <v>606</v>
      </c>
      <c r="C75" s="119" t="s">
        <v>40</v>
      </c>
      <c r="E75" s="214" t="s">
        <v>554</v>
      </c>
    </row>
    <row r="76" spans="1:6" x14ac:dyDescent="0.25">
      <c r="A76" s="140" t="s">
        <v>549</v>
      </c>
      <c r="B76" s="158" t="s">
        <v>606</v>
      </c>
      <c r="C76" s="119" t="s">
        <v>40</v>
      </c>
      <c r="E76" s="214"/>
    </row>
    <row r="77" spans="1:6" x14ac:dyDescent="0.25">
      <c r="A77" s="140" t="s">
        <v>550</v>
      </c>
      <c r="B77" s="158" t="s">
        <v>606</v>
      </c>
      <c r="C77" s="119" t="s">
        <v>40</v>
      </c>
      <c r="E77" s="214"/>
    </row>
    <row r="78" spans="1:6" x14ac:dyDescent="0.25">
      <c r="A78" s="140" t="s">
        <v>551</v>
      </c>
      <c r="B78" s="158" t="s">
        <v>606</v>
      </c>
      <c r="C78" s="119" t="s">
        <v>40</v>
      </c>
      <c r="E78" s="214"/>
    </row>
    <row r="79" spans="1:6" ht="60" x14ac:dyDescent="0.25">
      <c r="A79" s="140" t="s">
        <v>552</v>
      </c>
      <c r="B79" s="158" t="s">
        <v>606</v>
      </c>
      <c r="C79" s="119" t="s">
        <v>471</v>
      </c>
      <c r="D79" s="154" t="s">
        <v>610</v>
      </c>
      <c r="E79" s="214"/>
      <c r="F79" s="215">
        <v>42411</v>
      </c>
    </row>
    <row r="80" spans="1:6" ht="90" x14ac:dyDescent="0.25">
      <c r="A80" s="140" t="s">
        <v>562</v>
      </c>
      <c r="B80" s="158" t="s">
        <v>605</v>
      </c>
      <c r="C80" s="148" t="s">
        <v>471</v>
      </c>
      <c r="D80" s="154" t="s">
        <v>565</v>
      </c>
      <c r="E80" s="208">
        <v>42380</v>
      </c>
      <c r="F80" s="215"/>
    </row>
    <row r="81" spans="1:6" ht="30" customHeight="1" x14ac:dyDescent="0.25">
      <c r="A81" s="140" t="s">
        <v>566</v>
      </c>
      <c r="B81" s="148" t="s">
        <v>606</v>
      </c>
      <c r="C81" s="148" t="s">
        <v>471</v>
      </c>
      <c r="D81" s="207" t="s">
        <v>568</v>
      </c>
      <c r="E81" s="208"/>
      <c r="F81" s="215"/>
    </row>
    <row r="82" spans="1:6" x14ac:dyDescent="0.25">
      <c r="A82" s="140" t="s">
        <v>567</v>
      </c>
      <c r="B82" s="158" t="s">
        <v>606</v>
      </c>
      <c r="C82" s="148" t="s">
        <v>471</v>
      </c>
      <c r="D82" s="207"/>
      <c r="E82" s="208"/>
      <c r="F82" s="215"/>
    </row>
    <row r="83" spans="1:6" ht="30" x14ac:dyDescent="0.25">
      <c r="A83" s="140" t="s">
        <v>569</v>
      </c>
      <c r="B83" s="150" t="s">
        <v>605</v>
      </c>
      <c r="C83" s="148" t="s">
        <v>40</v>
      </c>
      <c r="E83" s="208"/>
    </row>
    <row r="84" spans="1:6" ht="30" x14ac:dyDescent="0.25">
      <c r="A84" s="140" t="s">
        <v>570</v>
      </c>
      <c r="B84" s="150" t="s">
        <v>605</v>
      </c>
      <c r="C84" s="148" t="s">
        <v>40</v>
      </c>
      <c r="E84" s="208"/>
    </row>
    <row r="85" spans="1:6" x14ac:dyDescent="0.25">
      <c r="A85" s="140" t="s">
        <v>571</v>
      </c>
      <c r="B85" s="150" t="s">
        <v>605</v>
      </c>
      <c r="C85" s="148" t="s">
        <v>40</v>
      </c>
      <c r="E85" s="208"/>
    </row>
    <row r="86" spans="1:6" x14ac:dyDescent="0.25">
      <c r="A86" s="140" t="s">
        <v>572</v>
      </c>
      <c r="B86" s="150" t="s">
        <v>605</v>
      </c>
      <c r="C86" s="148" t="s">
        <v>40</v>
      </c>
      <c r="E86" s="208"/>
    </row>
    <row r="87" spans="1:6" ht="30" x14ac:dyDescent="0.25">
      <c r="A87" s="140" t="s">
        <v>556</v>
      </c>
      <c r="B87" s="150" t="s">
        <v>605</v>
      </c>
      <c r="C87" s="119" t="s">
        <v>40</v>
      </c>
      <c r="D87" s="151" t="s">
        <v>563</v>
      </c>
      <c r="E87" s="209" t="s">
        <v>558</v>
      </c>
      <c r="F87" s="153" t="s">
        <v>558</v>
      </c>
    </row>
    <row r="88" spans="1:6" ht="30" x14ac:dyDescent="0.25">
      <c r="A88" s="140" t="s">
        <v>557</v>
      </c>
      <c r="B88" s="150" t="s">
        <v>605</v>
      </c>
      <c r="C88" s="145" t="s">
        <v>470</v>
      </c>
      <c r="D88" s="149" t="s">
        <v>559</v>
      </c>
      <c r="E88" s="210"/>
    </row>
    <row r="89" spans="1:6" x14ac:dyDescent="0.25">
      <c r="A89" s="140" t="s">
        <v>561</v>
      </c>
      <c r="B89" s="150" t="s">
        <v>606</v>
      </c>
      <c r="C89" s="148" t="s">
        <v>40</v>
      </c>
      <c r="E89" s="208">
        <v>42380</v>
      </c>
    </row>
    <row r="90" spans="1:6" x14ac:dyDescent="0.25">
      <c r="A90" s="140" t="s">
        <v>578</v>
      </c>
      <c r="B90" s="150" t="s">
        <v>605</v>
      </c>
      <c r="C90" s="148" t="s">
        <v>40</v>
      </c>
      <c r="E90" s="208"/>
    </row>
    <row r="91" spans="1:6" x14ac:dyDescent="0.25">
      <c r="A91" s="140" t="s">
        <v>573</v>
      </c>
      <c r="B91" s="158" t="s">
        <v>606</v>
      </c>
      <c r="C91" s="119" t="s">
        <v>40</v>
      </c>
      <c r="E91" s="208"/>
    </row>
    <row r="92" spans="1:6" x14ac:dyDescent="0.25">
      <c r="A92" s="140" t="s">
        <v>581</v>
      </c>
      <c r="B92" s="158" t="s">
        <v>605</v>
      </c>
      <c r="C92" s="148" t="s">
        <v>40</v>
      </c>
      <c r="E92" s="208"/>
    </row>
    <row r="93" spans="1:6" ht="45" x14ac:dyDescent="0.25">
      <c r="A93" s="140" t="s">
        <v>579</v>
      </c>
      <c r="B93" s="150" t="s">
        <v>607</v>
      </c>
      <c r="C93" s="148" t="s">
        <v>471</v>
      </c>
      <c r="D93" s="154" t="s">
        <v>580</v>
      </c>
      <c r="E93" s="208"/>
      <c r="F93" s="156">
        <v>42411</v>
      </c>
    </row>
    <row r="94" spans="1:6" x14ac:dyDescent="0.25">
      <c r="A94" s="140" t="s">
        <v>574</v>
      </c>
      <c r="B94" s="150" t="s">
        <v>606</v>
      </c>
      <c r="C94" s="119" t="s">
        <v>40</v>
      </c>
      <c r="E94" s="208"/>
    </row>
    <row r="95" spans="1:6" x14ac:dyDescent="0.25">
      <c r="A95" s="140" t="s">
        <v>582</v>
      </c>
      <c r="B95" s="158" t="s">
        <v>605</v>
      </c>
      <c r="C95" s="148" t="s">
        <v>40</v>
      </c>
      <c r="E95" s="208"/>
    </row>
    <row r="96" spans="1:6" x14ac:dyDescent="0.25">
      <c r="A96" s="140" t="s">
        <v>575</v>
      </c>
      <c r="B96" s="158" t="s">
        <v>606</v>
      </c>
      <c r="C96" s="119" t="s">
        <v>40</v>
      </c>
      <c r="E96" s="208"/>
    </row>
    <row r="97" spans="1:6" x14ac:dyDescent="0.25">
      <c r="A97" s="140" t="s">
        <v>583</v>
      </c>
      <c r="B97" s="158" t="s">
        <v>605</v>
      </c>
      <c r="C97" s="148" t="s">
        <v>40</v>
      </c>
      <c r="E97" s="208"/>
    </row>
    <row r="98" spans="1:6" x14ac:dyDescent="0.25">
      <c r="A98" s="140" t="s">
        <v>576</v>
      </c>
      <c r="B98" s="158" t="s">
        <v>606</v>
      </c>
      <c r="C98" s="148" t="s">
        <v>40</v>
      </c>
      <c r="E98" s="208"/>
    </row>
    <row r="99" spans="1:6" x14ac:dyDescent="0.25">
      <c r="A99" s="140" t="s">
        <v>584</v>
      </c>
      <c r="B99" s="158" t="s">
        <v>605</v>
      </c>
      <c r="C99" s="148" t="s">
        <v>40</v>
      </c>
      <c r="E99" s="208"/>
    </row>
    <row r="100" spans="1:6" x14ac:dyDescent="0.25">
      <c r="A100" s="140" t="s">
        <v>577</v>
      </c>
      <c r="B100" s="158" t="s">
        <v>606</v>
      </c>
      <c r="C100" s="119" t="s">
        <v>40</v>
      </c>
      <c r="E100" s="208"/>
    </row>
    <row r="101" spans="1:6" x14ac:dyDescent="0.25">
      <c r="A101" s="140" t="s">
        <v>585</v>
      </c>
      <c r="B101" s="158" t="s">
        <v>605</v>
      </c>
      <c r="C101" s="119" t="s">
        <v>40</v>
      </c>
      <c r="E101" s="208"/>
    </row>
    <row r="102" spans="1:6" ht="105" x14ac:dyDescent="0.25">
      <c r="A102" s="140" t="s">
        <v>602</v>
      </c>
      <c r="B102" s="158" t="s">
        <v>605</v>
      </c>
      <c r="C102" s="119" t="s">
        <v>471</v>
      </c>
      <c r="D102" s="154" t="s">
        <v>613</v>
      </c>
      <c r="E102" s="208"/>
      <c r="F102" s="156">
        <v>42411</v>
      </c>
    </row>
    <row r="103" spans="1:6" x14ac:dyDescent="0.25">
      <c r="A103" s="140" t="s">
        <v>586</v>
      </c>
      <c r="B103" s="150" t="s">
        <v>606</v>
      </c>
      <c r="C103" s="119" t="s">
        <v>40</v>
      </c>
      <c r="E103" s="208"/>
    </row>
    <row r="104" spans="1:6" x14ac:dyDescent="0.25">
      <c r="A104" s="140" t="s">
        <v>590</v>
      </c>
      <c r="B104" s="158" t="s">
        <v>605</v>
      </c>
      <c r="C104" s="148" t="s">
        <v>40</v>
      </c>
      <c r="E104" s="208"/>
    </row>
    <row r="105" spans="1:6" x14ac:dyDescent="0.25">
      <c r="A105" s="140" t="s">
        <v>587</v>
      </c>
      <c r="B105" s="158" t="s">
        <v>606</v>
      </c>
      <c r="C105" s="148" t="s">
        <v>40</v>
      </c>
      <c r="E105" s="208"/>
    </row>
    <row r="106" spans="1:6" x14ac:dyDescent="0.25">
      <c r="A106" s="140" t="s">
        <v>589</v>
      </c>
      <c r="B106" s="158" t="s">
        <v>605</v>
      </c>
      <c r="C106" s="148" t="s">
        <v>40</v>
      </c>
      <c r="E106" s="208"/>
    </row>
    <row r="107" spans="1:6" x14ac:dyDescent="0.25">
      <c r="A107" s="140" t="s">
        <v>588</v>
      </c>
      <c r="B107" s="158" t="s">
        <v>606</v>
      </c>
      <c r="C107" s="119" t="s">
        <v>40</v>
      </c>
      <c r="E107" s="208"/>
    </row>
    <row r="108" spans="1:6" x14ac:dyDescent="0.25">
      <c r="A108" s="140" t="s">
        <v>591</v>
      </c>
      <c r="B108" s="158" t="s">
        <v>605</v>
      </c>
      <c r="C108" s="119" t="s">
        <v>40</v>
      </c>
      <c r="E108" s="208"/>
    </row>
    <row r="109" spans="1:6" x14ac:dyDescent="0.25">
      <c r="A109" s="140" t="s">
        <v>593</v>
      </c>
      <c r="B109" s="158" t="s">
        <v>606</v>
      </c>
      <c r="C109" s="148" t="s">
        <v>40</v>
      </c>
      <c r="E109" s="208"/>
    </row>
    <row r="110" spans="1:6" x14ac:dyDescent="0.25">
      <c r="A110" s="140" t="s">
        <v>594</v>
      </c>
      <c r="B110" s="158" t="s">
        <v>605</v>
      </c>
      <c r="C110" s="119" t="s">
        <v>40</v>
      </c>
      <c r="E110" s="208"/>
    </row>
    <row r="111" spans="1:6" x14ac:dyDescent="0.25">
      <c r="A111" s="140" t="s">
        <v>595</v>
      </c>
      <c r="B111" s="158" t="s">
        <v>606</v>
      </c>
      <c r="C111" s="119" t="s">
        <v>40</v>
      </c>
      <c r="E111" s="208"/>
    </row>
    <row r="112" spans="1:6" x14ac:dyDescent="0.25">
      <c r="A112" s="140" t="s">
        <v>596</v>
      </c>
      <c r="B112" s="158" t="s">
        <v>605</v>
      </c>
      <c r="C112" s="119" t="s">
        <v>40</v>
      </c>
      <c r="E112" s="208"/>
    </row>
    <row r="113" spans="1:6" x14ac:dyDescent="0.25">
      <c r="A113" s="140" t="s">
        <v>597</v>
      </c>
      <c r="B113" s="158" t="s">
        <v>606</v>
      </c>
      <c r="C113" s="119" t="s">
        <v>40</v>
      </c>
      <c r="E113" s="208"/>
    </row>
    <row r="114" spans="1:6" x14ac:dyDescent="0.25">
      <c r="A114" s="140" t="s">
        <v>598</v>
      </c>
      <c r="B114" s="158" t="s">
        <v>605</v>
      </c>
      <c r="C114" s="119" t="s">
        <v>40</v>
      </c>
      <c r="E114" s="208"/>
    </row>
    <row r="115" spans="1:6" x14ac:dyDescent="0.25">
      <c r="A115" s="140" t="s">
        <v>599</v>
      </c>
      <c r="B115" s="158" t="s">
        <v>605</v>
      </c>
      <c r="C115" s="119" t="s">
        <v>471</v>
      </c>
      <c r="D115" s="207" t="s">
        <v>625</v>
      </c>
      <c r="E115" s="211"/>
      <c r="F115" s="215">
        <v>42411</v>
      </c>
    </row>
    <row r="116" spans="1:6" ht="81" customHeight="1" x14ac:dyDescent="0.25">
      <c r="A116" s="140" t="s">
        <v>600</v>
      </c>
      <c r="B116" s="158" t="s">
        <v>607</v>
      </c>
      <c r="C116" s="119" t="s">
        <v>471</v>
      </c>
      <c r="D116" s="207"/>
      <c r="E116" s="211"/>
      <c r="F116" s="215"/>
    </row>
    <row r="117" spans="1:6" ht="60" x14ac:dyDescent="0.25">
      <c r="A117" s="140" t="s">
        <v>601</v>
      </c>
      <c r="B117" s="150" t="s">
        <v>605</v>
      </c>
      <c r="C117" s="157" t="s">
        <v>471</v>
      </c>
      <c r="D117" s="149" t="s">
        <v>603</v>
      </c>
      <c r="E117" s="211"/>
      <c r="F117" s="215"/>
    </row>
    <row r="118" spans="1:6" ht="45" x14ac:dyDescent="0.25">
      <c r="A118" s="140" t="s">
        <v>604</v>
      </c>
      <c r="B118" s="157" t="s">
        <v>605</v>
      </c>
      <c r="C118" s="157" t="s">
        <v>471</v>
      </c>
      <c r="D118" s="161" t="s">
        <v>608</v>
      </c>
      <c r="E118" s="211"/>
      <c r="F118" s="215"/>
    </row>
    <row r="119" spans="1:6" ht="30" x14ac:dyDescent="0.25">
      <c r="A119" s="140" t="s">
        <v>611</v>
      </c>
      <c r="B119" s="157" t="s">
        <v>605</v>
      </c>
      <c r="C119" s="157" t="s">
        <v>471</v>
      </c>
      <c r="D119" s="161" t="s">
        <v>612</v>
      </c>
      <c r="E119" s="208">
        <v>42411</v>
      </c>
      <c r="F119" s="218"/>
    </row>
    <row r="120" spans="1:6" ht="30" x14ac:dyDescent="0.25">
      <c r="A120" s="140" t="s">
        <v>626</v>
      </c>
      <c r="B120" s="157" t="s">
        <v>607</v>
      </c>
      <c r="C120" s="119" t="s">
        <v>470</v>
      </c>
      <c r="D120" s="149" t="s">
        <v>627</v>
      </c>
      <c r="E120" s="208"/>
    </row>
    <row r="121" spans="1:6" ht="45" x14ac:dyDescent="0.25">
      <c r="A121" s="140" t="s">
        <v>632</v>
      </c>
      <c r="B121" s="157" t="s">
        <v>606</v>
      </c>
      <c r="C121" s="119" t="s">
        <v>471</v>
      </c>
      <c r="D121" s="165" t="s">
        <v>628</v>
      </c>
      <c r="E121" s="208"/>
      <c r="F121" s="167">
        <v>42440</v>
      </c>
    </row>
    <row r="122" spans="1:6" ht="45" x14ac:dyDescent="0.25">
      <c r="A122" s="140" t="s">
        <v>629</v>
      </c>
      <c r="B122" s="157" t="s">
        <v>607</v>
      </c>
      <c r="C122" s="119" t="s">
        <v>471</v>
      </c>
      <c r="D122" s="165" t="s">
        <v>630</v>
      </c>
      <c r="E122" s="208"/>
      <c r="F122" s="156">
        <v>42411</v>
      </c>
    </row>
    <row r="123" spans="1:6" ht="45" x14ac:dyDescent="0.25">
      <c r="A123" s="140" t="s">
        <v>631</v>
      </c>
      <c r="B123" s="157" t="s">
        <v>607</v>
      </c>
      <c r="C123" s="157" t="s">
        <v>471</v>
      </c>
      <c r="D123" s="165" t="s">
        <v>633</v>
      </c>
      <c r="E123" s="208"/>
      <c r="F123" s="166">
        <v>42440</v>
      </c>
    </row>
    <row r="124" spans="1:6" ht="60" x14ac:dyDescent="0.25">
      <c r="A124" s="140" t="s">
        <v>634</v>
      </c>
      <c r="B124" s="157" t="s">
        <v>607</v>
      </c>
      <c r="C124" s="119" t="s">
        <v>470</v>
      </c>
      <c r="D124" s="168" t="s">
        <v>635</v>
      </c>
      <c r="E124" s="208"/>
    </row>
    <row r="125" spans="1:6" x14ac:dyDescent="0.25">
      <c r="A125" s="140" t="s">
        <v>636</v>
      </c>
      <c r="B125" s="158" t="s">
        <v>606</v>
      </c>
      <c r="C125" s="119" t="s">
        <v>40</v>
      </c>
      <c r="E125" s="208"/>
    </row>
    <row r="126" spans="1:6" x14ac:dyDescent="0.25">
      <c r="A126" s="140" t="s">
        <v>637</v>
      </c>
      <c r="B126" s="119" t="s">
        <v>605</v>
      </c>
      <c r="C126" s="158" t="s">
        <v>40</v>
      </c>
      <c r="E126" s="208"/>
    </row>
    <row r="127" spans="1:6" x14ac:dyDescent="0.25">
      <c r="A127" s="140" t="s">
        <v>638</v>
      </c>
      <c r="B127" s="158" t="s">
        <v>606</v>
      </c>
      <c r="C127" s="119" t="s">
        <v>40</v>
      </c>
      <c r="E127" s="208"/>
    </row>
    <row r="128" spans="1:6" x14ac:dyDescent="0.25">
      <c r="A128" s="140" t="s">
        <v>639</v>
      </c>
      <c r="B128" s="158" t="s">
        <v>605</v>
      </c>
      <c r="C128" s="119" t="s">
        <v>40</v>
      </c>
      <c r="E128" s="208"/>
    </row>
    <row r="129" spans="1:6" ht="15" customHeight="1" x14ac:dyDescent="0.25">
      <c r="A129" s="140" t="s">
        <v>640</v>
      </c>
      <c r="B129" s="158" t="s">
        <v>606</v>
      </c>
      <c r="C129" s="158" t="s">
        <v>471</v>
      </c>
      <c r="D129" s="207" t="s">
        <v>668</v>
      </c>
      <c r="E129" s="208"/>
      <c r="F129" s="215">
        <v>42440</v>
      </c>
    </row>
    <row r="130" spans="1:6" ht="15" customHeight="1" x14ac:dyDescent="0.25">
      <c r="A130" s="140" t="s">
        <v>641</v>
      </c>
      <c r="B130" s="158" t="s">
        <v>605</v>
      </c>
      <c r="C130" s="164" t="s">
        <v>471</v>
      </c>
      <c r="D130" s="207"/>
      <c r="E130" s="208"/>
      <c r="F130" s="215"/>
    </row>
    <row r="131" spans="1:6" ht="31.5" customHeight="1" x14ac:dyDescent="0.25">
      <c r="A131" s="140" t="s">
        <v>643</v>
      </c>
      <c r="B131" s="158" t="s">
        <v>606</v>
      </c>
      <c r="C131" s="164" t="s">
        <v>471</v>
      </c>
      <c r="D131" s="207"/>
      <c r="E131" s="208"/>
      <c r="F131" s="215"/>
    </row>
    <row r="132" spans="1:6" ht="45" customHeight="1" x14ac:dyDescent="0.25">
      <c r="A132" s="140" t="s">
        <v>642</v>
      </c>
      <c r="B132" s="158" t="s">
        <v>605</v>
      </c>
      <c r="C132" s="164" t="s">
        <v>471</v>
      </c>
      <c r="D132" s="207"/>
      <c r="E132" s="208"/>
      <c r="F132" s="215"/>
    </row>
    <row r="133" spans="1:6" x14ac:dyDescent="0.25">
      <c r="A133" s="140" t="s">
        <v>644</v>
      </c>
      <c r="B133" s="158" t="s">
        <v>606</v>
      </c>
      <c r="C133" s="164" t="s">
        <v>471</v>
      </c>
      <c r="D133" s="207"/>
      <c r="E133" s="208"/>
      <c r="F133" s="215"/>
    </row>
    <row r="134" spans="1:6" x14ac:dyDescent="0.25">
      <c r="A134" s="140" t="s">
        <v>645</v>
      </c>
      <c r="B134" s="158" t="s">
        <v>605</v>
      </c>
      <c r="C134" s="158" t="s">
        <v>40</v>
      </c>
      <c r="E134" s="208"/>
    </row>
    <row r="135" spans="1:6" x14ac:dyDescent="0.25">
      <c r="A135" s="140" t="s">
        <v>646</v>
      </c>
      <c r="B135" s="158" t="s">
        <v>606</v>
      </c>
      <c r="C135" s="158" t="s">
        <v>40</v>
      </c>
      <c r="E135" s="208"/>
    </row>
    <row r="136" spans="1:6" x14ac:dyDescent="0.25">
      <c r="A136" s="140" t="s">
        <v>650</v>
      </c>
      <c r="B136" s="158" t="s">
        <v>605</v>
      </c>
      <c r="C136" s="158" t="s">
        <v>471</v>
      </c>
      <c r="D136" s="207" t="s">
        <v>652</v>
      </c>
      <c r="E136" s="208"/>
      <c r="F136" s="215">
        <v>42440</v>
      </c>
    </row>
    <row r="137" spans="1:6" ht="31.5" customHeight="1" x14ac:dyDescent="0.25">
      <c r="A137" s="140" t="s">
        <v>651</v>
      </c>
      <c r="B137" s="158" t="s">
        <v>606</v>
      </c>
      <c r="C137" s="164" t="s">
        <v>471</v>
      </c>
      <c r="D137" s="207"/>
      <c r="E137" s="208"/>
      <c r="F137" s="215"/>
    </row>
    <row r="138" spans="1:6" ht="30" x14ac:dyDescent="0.25">
      <c r="A138" s="140" t="s">
        <v>649</v>
      </c>
      <c r="B138" s="119" t="s">
        <v>605</v>
      </c>
      <c r="C138" s="119" t="s">
        <v>40</v>
      </c>
      <c r="E138" s="208"/>
    </row>
    <row r="139" spans="1:6" x14ac:dyDescent="0.25">
      <c r="A139" s="140" t="s">
        <v>647</v>
      </c>
      <c r="B139" s="158" t="s">
        <v>605</v>
      </c>
      <c r="C139" s="119" t="s">
        <v>40</v>
      </c>
      <c r="E139" s="208"/>
    </row>
    <row r="140" spans="1:6" ht="30" x14ac:dyDescent="0.25">
      <c r="A140" s="140" t="s">
        <v>653</v>
      </c>
      <c r="B140" s="158" t="s">
        <v>605</v>
      </c>
      <c r="C140" s="119" t="s">
        <v>40</v>
      </c>
      <c r="E140" s="208"/>
    </row>
    <row r="141" spans="1:6" x14ac:dyDescent="0.25">
      <c r="A141" s="140" t="s">
        <v>654</v>
      </c>
      <c r="B141" s="119" t="s">
        <v>606</v>
      </c>
      <c r="C141" s="119" t="s">
        <v>64</v>
      </c>
      <c r="E141" s="208"/>
    </row>
    <row r="142" spans="1:6" x14ac:dyDescent="0.25">
      <c r="A142" s="140" t="s">
        <v>655</v>
      </c>
      <c r="B142" s="119" t="s">
        <v>605</v>
      </c>
      <c r="C142" s="158" t="s">
        <v>64</v>
      </c>
      <c r="E142" s="208"/>
    </row>
    <row r="143" spans="1:6" ht="75" x14ac:dyDescent="0.25">
      <c r="A143" s="140" t="s">
        <v>656</v>
      </c>
      <c r="B143" s="119" t="s">
        <v>606</v>
      </c>
      <c r="C143" s="119" t="s">
        <v>470</v>
      </c>
      <c r="D143" s="168" t="s">
        <v>662</v>
      </c>
      <c r="E143" s="208"/>
    </row>
    <row r="144" spans="1:6" ht="60" x14ac:dyDescent="0.25">
      <c r="A144" s="140" t="s">
        <v>661</v>
      </c>
      <c r="B144" s="158" t="s">
        <v>606</v>
      </c>
      <c r="C144" s="158" t="s">
        <v>470</v>
      </c>
      <c r="D144" s="168" t="s">
        <v>663</v>
      </c>
      <c r="E144" s="208"/>
    </row>
    <row r="145" spans="1:6" ht="45" x14ac:dyDescent="0.25">
      <c r="A145" s="140" t="s">
        <v>657</v>
      </c>
      <c r="B145" s="158" t="s">
        <v>605</v>
      </c>
      <c r="C145" s="119" t="s">
        <v>471</v>
      </c>
      <c r="D145" s="161" t="s">
        <v>658</v>
      </c>
      <c r="E145" s="208"/>
      <c r="F145" s="220">
        <v>42411</v>
      </c>
    </row>
    <row r="146" spans="1:6" ht="45" x14ac:dyDescent="0.25">
      <c r="A146" s="140" t="s">
        <v>659</v>
      </c>
      <c r="B146" s="158" t="s">
        <v>605</v>
      </c>
      <c r="C146" s="119" t="s">
        <v>471</v>
      </c>
      <c r="D146" s="161" t="s">
        <v>660</v>
      </c>
      <c r="E146" s="208"/>
      <c r="F146" s="221"/>
    </row>
    <row r="147" spans="1:6" ht="75" x14ac:dyDescent="0.25">
      <c r="A147" s="140" t="s">
        <v>669</v>
      </c>
      <c r="B147" s="119" t="s">
        <v>606</v>
      </c>
      <c r="C147" s="119" t="s">
        <v>470</v>
      </c>
      <c r="D147" s="149" t="s">
        <v>670</v>
      </c>
      <c r="E147" s="208">
        <v>42440</v>
      </c>
    </row>
    <row r="148" spans="1:6" ht="120" x14ac:dyDescent="0.25">
      <c r="A148" s="140" t="s">
        <v>672</v>
      </c>
      <c r="B148" s="119" t="s">
        <v>607</v>
      </c>
      <c r="C148" s="119" t="s">
        <v>40</v>
      </c>
      <c r="D148" s="151" t="s">
        <v>671</v>
      </c>
      <c r="E148" s="208"/>
    </row>
    <row r="149" spans="1:6" ht="105" x14ac:dyDescent="0.25">
      <c r="A149" s="140" t="s">
        <v>675</v>
      </c>
      <c r="B149" s="169" t="s">
        <v>607</v>
      </c>
      <c r="C149" s="169" t="s">
        <v>471</v>
      </c>
      <c r="D149" s="171" t="s">
        <v>676</v>
      </c>
      <c r="E149" s="208"/>
      <c r="F149" s="170">
        <v>42440</v>
      </c>
    </row>
    <row r="150" spans="1:6" ht="30" x14ac:dyDescent="0.25">
      <c r="A150" s="140" t="s">
        <v>673</v>
      </c>
      <c r="B150" s="119" t="s">
        <v>606</v>
      </c>
      <c r="C150" s="119" t="s">
        <v>470</v>
      </c>
      <c r="D150" s="149" t="s">
        <v>674</v>
      </c>
      <c r="E150" s="208"/>
    </row>
    <row r="151" spans="1:6" ht="30" x14ac:dyDescent="0.25">
      <c r="A151" s="140" t="s">
        <v>677</v>
      </c>
      <c r="B151" s="119" t="s">
        <v>605</v>
      </c>
      <c r="C151" s="119" t="s">
        <v>40</v>
      </c>
      <c r="E151" s="208">
        <v>42471</v>
      </c>
    </row>
    <row r="152" spans="1:6" x14ac:dyDescent="0.25">
      <c r="A152" s="140" t="s">
        <v>678</v>
      </c>
      <c r="B152" s="119" t="s">
        <v>605</v>
      </c>
      <c r="C152" s="119" t="s">
        <v>40</v>
      </c>
      <c r="E152" s="208"/>
    </row>
    <row r="153" spans="1:6" ht="30" x14ac:dyDescent="0.25">
      <c r="A153" s="140" t="s">
        <v>680</v>
      </c>
      <c r="B153" s="119" t="s">
        <v>607</v>
      </c>
      <c r="C153" s="119" t="s">
        <v>470</v>
      </c>
      <c r="D153" s="149" t="s">
        <v>679</v>
      </c>
      <c r="E153" s="208">
        <v>42501</v>
      </c>
    </row>
    <row r="154" spans="1:6" x14ac:dyDescent="0.25">
      <c r="A154" s="140" t="s">
        <v>682</v>
      </c>
      <c r="B154" s="119" t="s">
        <v>606</v>
      </c>
      <c r="C154" s="119" t="s">
        <v>40</v>
      </c>
      <c r="E154" s="208"/>
    </row>
    <row r="155" spans="1:6" x14ac:dyDescent="0.25">
      <c r="A155" s="140" t="s">
        <v>681</v>
      </c>
      <c r="B155" s="172" t="s">
        <v>606</v>
      </c>
      <c r="C155" s="172" t="s">
        <v>40</v>
      </c>
      <c r="E155" s="208"/>
    </row>
    <row r="156" spans="1:6" x14ac:dyDescent="0.25">
      <c r="A156" s="140" t="s">
        <v>683</v>
      </c>
      <c r="B156" s="172" t="s">
        <v>606</v>
      </c>
      <c r="C156" s="172" t="s">
        <v>40</v>
      </c>
      <c r="E156" s="208"/>
    </row>
    <row r="157" spans="1:6" x14ac:dyDescent="0.25">
      <c r="A157" s="140" t="s">
        <v>685</v>
      </c>
      <c r="B157" s="172" t="s">
        <v>606</v>
      </c>
      <c r="C157" s="119" t="s">
        <v>40</v>
      </c>
      <c r="E157" s="208"/>
    </row>
    <row r="158" spans="1:6" x14ac:dyDescent="0.25">
      <c r="A158" s="140" t="s">
        <v>686</v>
      </c>
      <c r="B158" s="172" t="s">
        <v>606</v>
      </c>
      <c r="C158" s="172" t="s">
        <v>40</v>
      </c>
      <c r="E158" s="208"/>
    </row>
    <row r="159" spans="1:6" x14ac:dyDescent="0.25">
      <c r="A159" s="140" t="s">
        <v>684</v>
      </c>
      <c r="B159" s="172" t="s">
        <v>606</v>
      </c>
      <c r="C159" s="172" t="s">
        <v>40</v>
      </c>
      <c r="E159" s="208"/>
    </row>
    <row r="160" spans="1:6" x14ac:dyDescent="0.25">
      <c r="A160" s="140" t="s">
        <v>687</v>
      </c>
      <c r="B160" s="172" t="s">
        <v>606</v>
      </c>
      <c r="C160" s="172" t="s">
        <v>40</v>
      </c>
      <c r="E160" s="208"/>
    </row>
    <row r="161" spans="1:6" x14ac:dyDescent="0.25">
      <c r="A161" s="140" t="s">
        <v>688</v>
      </c>
      <c r="B161" s="172" t="s">
        <v>606</v>
      </c>
      <c r="C161" s="172" t="s">
        <v>40</v>
      </c>
      <c r="E161" s="208"/>
    </row>
    <row r="162" spans="1:6" x14ac:dyDescent="0.25">
      <c r="A162" s="140" t="s">
        <v>689</v>
      </c>
      <c r="B162" s="172" t="s">
        <v>606</v>
      </c>
      <c r="C162" s="172" t="s">
        <v>40</v>
      </c>
      <c r="E162" s="208"/>
    </row>
    <row r="163" spans="1:6" x14ac:dyDescent="0.25">
      <c r="A163" s="140" t="s">
        <v>690</v>
      </c>
      <c r="B163" s="172" t="s">
        <v>606</v>
      </c>
      <c r="C163" s="172" t="s">
        <v>40</v>
      </c>
      <c r="E163" s="208"/>
    </row>
    <row r="164" spans="1:6" x14ac:dyDescent="0.25">
      <c r="A164" s="140" t="s">
        <v>691</v>
      </c>
      <c r="B164" s="172" t="s">
        <v>606</v>
      </c>
      <c r="C164" s="172" t="s">
        <v>40</v>
      </c>
      <c r="E164" s="208"/>
    </row>
    <row r="165" spans="1:6" x14ac:dyDescent="0.25">
      <c r="A165" s="140" t="s">
        <v>692</v>
      </c>
      <c r="B165" s="172" t="s">
        <v>606</v>
      </c>
      <c r="C165" s="172" t="s">
        <v>40</v>
      </c>
      <c r="E165" s="208"/>
    </row>
    <row r="166" spans="1:6" x14ac:dyDescent="0.25">
      <c r="A166" s="140" t="s">
        <v>693</v>
      </c>
      <c r="B166" s="172" t="s">
        <v>606</v>
      </c>
      <c r="C166" s="172" t="s">
        <v>40</v>
      </c>
      <c r="E166" s="208"/>
    </row>
    <row r="167" spans="1:6" x14ac:dyDescent="0.25">
      <c r="A167" s="140" t="s">
        <v>694</v>
      </c>
      <c r="B167" s="172" t="s">
        <v>606</v>
      </c>
      <c r="C167" s="172" t="s">
        <v>40</v>
      </c>
      <c r="E167" s="208"/>
    </row>
    <row r="168" spans="1:6" x14ac:dyDescent="0.25">
      <c r="A168" s="140" t="s">
        <v>695</v>
      </c>
      <c r="B168" s="172" t="s">
        <v>606</v>
      </c>
      <c r="C168" s="172" t="s">
        <v>40</v>
      </c>
      <c r="E168" s="208"/>
    </row>
    <row r="169" spans="1:6" x14ac:dyDescent="0.25">
      <c r="A169" s="140" t="s">
        <v>696</v>
      </c>
      <c r="B169" s="172" t="s">
        <v>606</v>
      </c>
      <c r="C169" s="172" t="s">
        <v>40</v>
      </c>
      <c r="E169" s="208"/>
    </row>
    <row r="170" spans="1:6" x14ac:dyDescent="0.25">
      <c r="A170" s="140" t="s">
        <v>697</v>
      </c>
      <c r="B170" s="172" t="s">
        <v>606</v>
      </c>
      <c r="C170" s="172" t="s">
        <v>40</v>
      </c>
      <c r="E170" s="208"/>
    </row>
    <row r="171" spans="1:6" x14ac:dyDescent="0.25">
      <c r="A171" s="140" t="s">
        <v>698</v>
      </c>
      <c r="B171" s="172" t="s">
        <v>606</v>
      </c>
      <c r="C171" s="172" t="s">
        <v>40</v>
      </c>
      <c r="E171" s="208"/>
    </row>
    <row r="172" spans="1:6" ht="45" x14ac:dyDescent="0.25">
      <c r="A172" s="140" t="s">
        <v>700</v>
      </c>
      <c r="B172" s="119" t="s">
        <v>605</v>
      </c>
      <c r="C172" s="119" t="s">
        <v>470</v>
      </c>
      <c r="D172" s="149" t="s">
        <v>699</v>
      </c>
      <c r="E172" s="222">
        <v>42562</v>
      </c>
    </row>
    <row r="173" spans="1:6" ht="45" x14ac:dyDescent="0.25">
      <c r="A173" s="140" t="s">
        <v>701</v>
      </c>
      <c r="B173" s="119" t="s">
        <v>607</v>
      </c>
      <c r="C173" s="119" t="s">
        <v>471</v>
      </c>
      <c r="D173" s="174" t="s">
        <v>702</v>
      </c>
      <c r="E173" s="223"/>
      <c r="F173" s="224">
        <v>42562</v>
      </c>
    </row>
    <row r="174" spans="1:6" ht="105" x14ac:dyDescent="0.25">
      <c r="A174" s="140" t="s">
        <v>703</v>
      </c>
      <c r="B174" s="173" t="s">
        <v>605</v>
      </c>
      <c r="C174" s="119" t="s">
        <v>470</v>
      </c>
      <c r="D174" s="149" t="s">
        <v>704</v>
      </c>
      <c r="E174" s="223"/>
    </row>
  </sheetData>
  <mergeCells count="24">
    <mergeCell ref="E172:E174"/>
    <mergeCell ref="E153:E171"/>
    <mergeCell ref="F115:F119"/>
    <mergeCell ref="E75:E79"/>
    <mergeCell ref="F4:F5"/>
    <mergeCell ref="F9:F10"/>
    <mergeCell ref="E119:E146"/>
    <mergeCell ref="F145:F146"/>
    <mergeCell ref="F129:F133"/>
    <mergeCell ref="F136:F137"/>
    <mergeCell ref="E151:E152"/>
    <mergeCell ref="E147:E150"/>
    <mergeCell ref="H2:I3"/>
    <mergeCell ref="E2:E60"/>
    <mergeCell ref="E67:E74"/>
    <mergeCell ref="F79:F82"/>
    <mergeCell ref="E65:E66"/>
    <mergeCell ref="D129:D133"/>
    <mergeCell ref="D136:D137"/>
    <mergeCell ref="D81:D82"/>
    <mergeCell ref="E80:E86"/>
    <mergeCell ref="E87:E88"/>
    <mergeCell ref="D115:D116"/>
    <mergeCell ref="E89:E118"/>
  </mergeCells>
  <conditionalFormatting sqref="C1:C88 C91:C1048576">
    <cfRule type="cellIs" dxfId="15" priority="29" operator="equal">
      <formula>"Not Started"</formula>
    </cfRule>
    <cfRule type="cellIs" dxfId="14" priority="30" operator="equal">
      <formula>"Fixing"</formula>
    </cfRule>
    <cfRule type="cellIs" dxfId="13" priority="31" operator="equal">
      <formula>"Fixed"</formula>
    </cfRule>
    <cfRule type="cellIs" dxfId="12" priority="32" operator="equal">
      <formula>"Error"</formula>
    </cfRule>
    <cfRule type="cellIs" dxfId="11" priority="33" operator="equal">
      <formula>"Finished"</formula>
    </cfRule>
  </conditionalFormatting>
  <conditionalFormatting sqref="C89:C90">
    <cfRule type="cellIs" dxfId="10" priority="14" operator="equal">
      <formula>"Not Started"</formula>
    </cfRule>
    <cfRule type="cellIs" dxfId="9" priority="15" operator="equal">
      <formula>"Fixing"</formula>
    </cfRule>
    <cfRule type="cellIs" dxfId="8" priority="16" operator="equal">
      <formula>"Fixed"</formula>
    </cfRule>
    <cfRule type="cellIs" dxfId="7" priority="17" operator="equal">
      <formula>"Error"</formula>
    </cfRule>
    <cfRule type="cellIs" dxfId="6" priority="18" operator="equal">
      <formula>"Finished"</formula>
    </cfRule>
  </conditionalFormatting>
  <conditionalFormatting sqref="B1:B1048576">
    <cfRule type="cellIs" dxfId="5" priority="1" operator="equal">
      <formula>"WhiteBox"</formula>
    </cfRule>
    <cfRule type="cellIs" dxfId="4" priority="2" operator="equal">
      <formula>"BlackBox"</formula>
    </cfRule>
    <cfRule type="cellIs" dxfId="3" priority="3" operator="equal">
      <formula>"GrayBox"</formula>
    </cfRule>
  </conditionalFormatting>
  <dataValidations count="2">
    <dataValidation type="list" allowBlank="1" showInputMessage="1" showErrorMessage="1" sqref="B1:B1048576">
      <formula1>"WhiteBox, GrayBox, BlackBox"</formula1>
    </dataValidation>
    <dataValidation type="list" allowBlank="1" showInputMessage="1" showErrorMessage="1" sqref="C1:C1048576">
      <formula1>"Finished, Error, Fixed, Fixing, Not Started"</formula1>
    </dataValidation>
  </dataValidations>
  <hyperlinks>
    <hyperlink ref="H2:I3" location="'Summary Plan'!O1" display="Summary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Information</vt:lpstr>
      <vt:lpstr>Models</vt:lpstr>
      <vt:lpstr>Summary Plan</vt:lpstr>
      <vt:lpstr>Planning</vt:lpstr>
      <vt:lpstr>Checklist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2016-11-07T06:09:34Z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