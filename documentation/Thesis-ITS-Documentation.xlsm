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<sst xmlns="http://schemas.openxmlformats.org/spreadsheetml/2006/main" count="1447" uniqueCount="699">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</sst>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2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  <xf numFmtId="14" fontId="4" fillId="14" borderId="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33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32"/>
      <tableStyleElement type="headerRow" dxfId="131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0.69411764705882351</c:v>
                </c:pt>
                <c:pt idx="1">
                  <c:v>5.2941176470588235E-2</c:v>
                </c:pt>
                <c:pt idx="2">
                  <c:v>0.23529411764705882</c:v>
                </c:pt>
                <c:pt idx="3">
                  <c:v>0</c:v>
                </c:pt>
                <c:pt idx="4">
                  <c:v>1.7647058823529412E-2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63</c:v>
                </c:pt>
                <c:pt idx="1">
                  <c:v>58</c:v>
                </c:pt>
                <c:pt idx="2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77001952"/>
        <c:axId val="-1277001408"/>
      </c:barChart>
      <c:catAx>
        <c:axId val="-127700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7001408"/>
        <c:crosses val="autoZero"/>
        <c:auto val="1"/>
        <c:lblAlgn val="ctr"/>
        <c:lblOffset val="100"/>
        <c:noMultiLvlLbl val="0"/>
      </c:catAx>
      <c:valAx>
        <c:axId val="-12770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700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75" t="s">
        <v>0</v>
      </c>
      <c r="B1" s="175"/>
      <c r="C1" s="175"/>
    </row>
    <row r="2" spans="1:6" x14ac:dyDescent="0.25">
      <c r="A2" s="175"/>
      <c r="B2" s="175"/>
      <c r="C2" s="175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77" t="s">
        <v>42</v>
      </c>
      <c r="E4" s="177"/>
    </row>
    <row r="5" spans="1:6" x14ac:dyDescent="0.25">
      <c r="A5" s="176" t="s">
        <v>21</v>
      </c>
      <c r="B5" s="176"/>
      <c r="C5" s="176"/>
      <c r="D5" s="176"/>
      <c r="E5" s="176"/>
      <c r="F5" s="176"/>
    </row>
    <row r="6" spans="1:6" x14ac:dyDescent="0.25">
      <c r="A6" s="176"/>
      <c r="B6" s="176"/>
      <c r="C6" s="176"/>
      <c r="D6" s="176"/>
      <c r="E6" s="176"/>
      <c r="F6" s="176"/>
    </row>
    <row r="7" spans="1:6" x14ac:dyDescent="0.25">
      <c r="A7" s="18" t="s">
        <v>24</v>
      </c>
    </row>
    <row r="8" spans="1:6" x14ac:dyDescent="0.25">
      <c r="A8" s="174"/>
      <c r="B8" s="18" t="s">
        <v>25</v>
      </c>
    </row>
    <row r="9" spans="1:6" x14ac:dyDescent="0.25">
      <c r="A9" s="174"/>
      <c r="B9" s="18" t="s">
        <v>23</v>
      </c>
    </row>
    <row r="10" spans="1:6" x14ac:dyDescent="0.25">
      <c r="A10" s="174"/>
      <c r="C10" s="6" t="s">
        <v>35</v>
      </c>
    </row>
    <row r="11" spans="1:6" x14ac:dyDescent="0.25">
      <c r="A11" s="174"/>
      <c r="B11" s="18" t="s">
        <v>22</v>
      </c>
      <c r="C11" s="173"/>
    </row>
    <row r="12" spans="1:6" x14ac:dyDescent="0.25">
      <c r="A12" s="174"/>
      <c r="B12" s="18" t="s">
        <v>26</v>
      </c>
      <c r="C12" s="173"/>
    </row>
    <row r="13" spans="1:6" x14ac:dyDescent="0.25">
      <c r="A13" s="174"/>
      <c r="B13" s="18" t="s">
        <v>45</v>
      </c>
      <c r="C13" s="173"/>
    </row>
    <row r="14" spans="1:6" x14ac:dyDescent="0.25">
      <c r="A14" s="7" t="s">
        <v>27</v>
      </c>
      <c r="C14" s="173"/>
    </row>
    <row r="15" spans="1:6" x14ac:dyDescent="0.25">
      <c r="A15" s="174"/>
      <c r="B15" s="18" t="s">
        <v>28</v>
      </c>
      <c r="C15" s="173"/>
    </row>
    <row r="16" spans="1:6" x14ac:dyDescent="0.25">
      <c r="A16" s="174"/>
      <c r="B16" s="173"/>
      <c r="C16" s="18" t="s">
        <v>31</v>
      </c>
    </row>
    <row r="17" spans="1:4" x14ac:dyDescent="0.25">
      <c r="A17" s="174"/>
      <c r="B17" s="173"/>
      <c r="C17" s="173"/>
      <c r="D17" s="9" t="s">
        <v>39</v>
      </c>
    </row>
    <row r="18" spans="1:4" x14ac:dyDescent="0.25">
      <c r="A18" s="174"/>
      <c r="B18" s="173"/>
      <c r="C18" s="173"/>
      <c r="D18" s="9" t="s">
        <v>38</v>
      </c>
    </row>
    <row r="19" spans="1:4" x14ac:dyDescent="0.25">
      <c r="A19" s="174"/>
      <c r="B19" s="173"/>
      <c r="C19" s="173"/>
      <c r="D19" s="18" t="s">
        <v>22</v>
      </c>
    </row>
    <row r="20" spans="1:4" x14ac:dyDescent="0.25">
      <c r="A20" s="174"/>
      <c r="B20" s="173"/>
      <c r="C20" s="18" t="s">
        <v>32</v>
      </c>
    </row>
    <row r="21" spans="1:4" x14ac:dyDescent="0.25">
      <c r="A21" s="174"/>
      <c r="B21" s="173"/>
      <c r="C21" s="173"/>
      <c r="D21" s="9" t="s">
        <v>39</v>
      </c>
    </row>
    <row r="22" spans="1:4" x14ac:dyDescent="0.25">
      <c r="A22" s="174"/>
      <c r="B22" s="173"/>
      <c r="C22" s="173"/>
      <c r="D22" s="9" t="s">
        <v>38</v>
      </c>
    </row>
    <row r="23" spans="1:4" x14ac:dyDescent="0.25">
      <c r="A23" s="174"/>
      <c r="B23" s="173"/>
      <c r="C23" s="173"/>
      <c r="D23" s="18" t="s">
        <v>22</v>
      </c>
    </row>
    <row r="24" spans="1:4" x14ac:dyDescent="0.25">
      <c r="A24" s="174"/>
      <c r="B24" s="18" t="s">
        <v>29</v>
      </c>
      <c r="C24" s="173"/>
      <c r="D24" s="173"/>
    </row>
    <row r="25" spans="1:4" x14ac:dyDescent="0.25">
      <c r="A25" s="174"/>
      <c r="B25" s="173"/>
      <c r="C25" s="18" t="s">
        <v>33</v>
      </c>
      <c r="D25" s="173"/>
    </row>
    <row r="26" spans="1:4" x14ac:dyDescent="0.25">
      <c r="A26" s="174"/>
      <c r="B26" s="173"/>
      <c r="C26" s="173"/>
      <c r="D26" s="9" t="s">
        <v>39</v>
      </c>
    </row>
    <row r="27" spans="1:4" x14ac:dyDescent="0.25">
      <c r="A27" s="174"/>
      <c r="B27" s="173"/>
      <c r="C27" s="173"/>
      <c r="D27" s="18" t="s">
        <v>38</v>
      </c>
    </row>
    <row r="28" spans="1:4" x14ac:dyDescent="0.25">
      <c r="A28" s="174"/>
      <c r="B28" s="173"/>
      <c r="C28" s="173"/>
      <c r="D28" s="18" t="s">
        <v>22</v>
      </c>
    </row>
    <row r="29" spans="1:4" x14ac:dyDescent="0.25">
      <c r="A29" s="174"/>
      <c r="B29" s="173"/>
      <c r="C29" s="18" t="s">
        <v>34</v>
      </c>
    </row>
    <row r="30" spans="1:4" x14ac:dyDescent="0.25">
      <c r="A30" s="174"/>
      <c r="B30" s="173"/>
      <c r="C30" s="173"/>
      <c r="D30" s="18" t="s">
        <v>39</v>
      </c>
    </row>
    <row r="31" spans="1:4" x14ac:dyDescent="0.25">
      <c r="A31" s="174"/>
      <c r="B31" s="173"/>
      <c r="C31" s="173"/>
      <c r="D31" s="18" t="s">
        <v>38</v>
      </c>
    </row>
    <row r="32" spans="1:4" x14ac:dyDescent="0.25">
      <c r="A32" s="174"/>
      <c r="B32" s="173"/>
      <c r="C32" s="173"/>
      <c r="D32" s="18" t="s">
        <v>22</v>
      </c>
    </row>
    <row r="33" spans="1:4" x14ac:dyDescent="0.25">
      <c r="A33" s="174"/>
      <c r="B33" s="18" t="s">
        <v>30</v>
      </c>
      <c r="C33" s="173"/>
      <c r="D33" s="173"/>
    </row>
    <row r="34" spans="1:4" x14ac:dyDescent="0.25">
      <c r="A34" s="174"/>
      <c r="B34" s="173"/>
      <c r="C34" s="18" t="s">
        <v>33</v>
      </c>
      <c r="D34" s="173"/>
    </row>
    <row r="35" spans="1:4" x14ac:dyDescent="0.25">
      <c r="A35" s="174"/>
      <c r="B35" s="173"/>
      <c r="C35" s="178"/>
      <c r="D35" s="18" t="s">
        <v>39</v>
      </c>
    </row>
    <row r="36" spans="1:4" x14ac:dyDescent="0.25">
      <c r="A36" s="174"/>
      <c r="B36" s="173"/>
      <c r="C36" s="178"/>
      <c r="D36" s="18" t="s">
        <v>38</v>
      </c>
    </row>
    <row r="37" spans="1:4" x14ac:dyDescent="0.25">
      <c r="A37" s="174"/>
      <c r="B37" s="173"/>
      <c r="C37" s="178"/>
      <c r="D37" s="18" t="s">
        <v>22</v>
      </c>
    </row>
    <row r="38" spans="1:4" x14ac:dyDescent="0.25">
      <c r="A38" s="174"/>
      <c r="B38" s="173"/>
      <c r="C38" s="18" t="s">
        <v>34</v>
      </c>
    </row>
    <row r="39" spans="1:4" x14ac:dyDescent="0.25">
      <c r="A39" s="174"/>
      <c r="B39" s="173"/>
      <c r="C39" s="173"/>
      <c r="D39" s="18" t="s">
        <v>39</v>
      </c>
    </row>
    <row r="40" spans="1:4" x14ac:dyDescent="0.25">
      <c r="A40" s="174"/>
      <c r="B40" s="173"/>
      <c r="C40" s="173"/>
      <c r="D40" s="18" t="s">
        <v>38</v>
      </c>
    </row>
    <row r="41" spans="1:4" x14ac:dyDescent="0.25">
      <c r="A41" s="174"/>
      <c r="B41" s="173"/>
      <c r="C41" s="173"/>
      <c r="D41" s="18" t="s">
        <v>22</v>
      </c>
    </row>
    <row r="42" spans="1:4" x14ac:dyDescent="0.25">
      <c r="A42" s="7" t="s">
        <v>667</v>
      </c>
      <c r="B42" s="173"/>
      <c r="C42" s="173"/>
    </row>
    <row r="43" spans="1:4" x14ac:dyDescent="0.25">
      <c r="B43" s="18" t="s">
        <v>36</v>
      </c>
      <c r="C43" s="173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79" t="s">
        <v>1</v>
      </c>
      <c r="C1" s="179"/>
      <c r="D1" s="179"/>
      <c r="E1" s="179"/>
      <c r="F1" s="180" t="s">
        <v>16</v>
      </c>
      <c r="G1" s="180"/>
      <c r="H1" s="180"/>
      <c r="I1" s="180"/>
      <c r="J1" s="180"/>
      <c r="K1" s="180"/>
      <c r="L1" s="180"/>
      <c r="M1" s="180"/>
      <c r="N1" s="54" t="s">
        <v>123</v>
      </c>
      <c r="O1" s="181" t="s">
        <v>289</v>
      </c>
      <c r="P1" s="181"/>
      <c r="Q1" s="181"/>
      <c r="R1" s="181"/>
      <c r="S1" s="181"/>
      <c r="T1" s="116"/>
      <c r="U1" s="116"/>
      <c r="V1" s="116"/>
      <c r="W1" s="116"/>
      <c r="X1" s="182" t="s">
        <v>390</v>
      </c>
      <c r="Y1" s="182"/>
      <c r="Z1" s="182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83" t="s">
        <v>116</v>
      </c>
      <c r="B1" s="183"/>
      <c r="C1" s="183"/>
      <c r="D1" s="183"/>
      <c r="H1" s="183" t="s">
        <v>121</v>
      </c>
      <c r="I1" s="183"/>
      <c r="J1" s="183"/>
      <c r="K1" s="183"/>
      <c r="L1" s="183"/>
      <c r="N1" s="183" t="s">
        <v>481</v>
      </c>
      <c r="O1" s="183"/>
      <c r="P1" s="183"/>
      <c r="Q1" s="183"/>
      <c r="R1" s="183"/>
      <c r="S1" s="183"/>
      <c r="T1" s="183"/>
    </row>
    <row r="2" spans="1:20" x14ac:dyDescent="0.25">
      <c r="A2" s="183"/>
      <c r="B2" s="183"/>
      <c r="C2" s="183"/>
      <c r="D2" s="183"/>
      <c r="H2" s="183"/>
      <c r="I2" s="183"/>
      <c r="J2" s="183"/>
      <c r="K2" s="183"/>
      <c r="L2" s="183"/>
      <c r="N2" s="183"/>
      <c r="O2" s="183"/>
      <c r="P2" s="183"/>
      <c r="Q2" s="183"/>
      <c r="R2" s="183"/>
      <c r="S2" s="183"/>
      <c r="T2" s="183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63</v>
      </c>
      <c r="P4" s="127">
        <f>O4 /O7</f>
        <v>0.37058823529411766</v>
      </c>
      <c r="R4" s="118" t="s">
        <v>40</v>
      </c>
      <c r="S4">
        <f>COUNTIF(Testing!C2:C1048576,"Finished")</f>
        <v>118</v>
      </c>
      <c r="T4" s="126">
        <f>S4/S9</f>
        <v>0.69411764705882351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58</v>
      </c>
      <c r="P5" s="130">
        <f>O5/ O7</f>
        <v>0.3411764705882353</v>
      </c>
      <c r="R5" s="118" t="s">
        <v>470</v>
      </c>
      <c r="S5">
        <f>COUNTIF(Testing!C2:C1048576,"Error")</f>
        <v>9</v>
      </c>
      <c r="T5" s="126">
        <f>S5/S9</f>
        <v>5.2941176470588235E-2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49</v>
      </c>
      <c r="P6" s="132">
        <f>O6/O7</f>
        <v>0.28823529411764703</v>
      </c>
      <c r="R6" s="120" t="s">
        <v>471</v>
      </c>
      <c r="S6">
        <f>COUNTIF(Testing!C2:C1048576,"Fixed")</f>
        <v>40</v>
      </c>
      <c r="T6" s="126">
        <f>S6/S9</f>
        <v>0.23529411764705882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170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1.7647058823529412E-2</v>
      </c>
    </row>
    <row r="9" spans="1:20" x14ac:dyDescent="0.25">
      <c r="N9" s="118"/>
      <c r="O9" s="136"/>
      <c r="P9" s="137"/>
      <c r="R9" s="141" t="s">
        <v>119</v>
      </c>
      <c r="S9">
        <f>SUM(S4:S8)</f>
        <v>170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30" priority="55" operator="equal">
      <formula>"Some"</formula>
    </cfRule>
    <cfRule type="cellIs" dxfId="129" priority="56" operator="equal">
      <formula>"Some"</formula>
    </cfRule>
    <cfRule type="cellIs" dxfId="128" priority="57" operator="equal">
      <formula>"No"</formula>
    </cfRule>
    <cfRule type="cellIs" dxfId="127" priority="58" operator="equal">
      <formula>"Yes"</formula>
    </cfRule>
  </conditionalFormatting>
  <conditionalFormatting sqref="A5">
    <cfRule type="cellIs" dxfId="126" priority="51" operator="equal">
      <formula>"Some"</formula>
    </cfRule>
    <cfRule type="cellIs" dxfId="125" priority="52" operator="equal">
      <formula>"Some"</formula>
    </cfRule>
    <cfRule type="cellIs" dxfId="124" priority="53" operator="equal">
      <formula>"No"</formula>
    </cfRule>
    <cfRule type="cellIs" dxfId="123" priority="54" operator="equal">
      <formula>"Yes"</formula>
    </cfRule>
  </conditionalFormatting>
  <conditionalFormatting sqref="A6">
    <cfRule type="cellIs" dxfId="122" priority="47" operator="equal">
      <formula>"Some"</formula>
    </cfRule>
    <cfRule type="cellIs" dxfId="121" priority="48" operator="equal">
      <formula>"Some"</formula>
    </cfRule>
    <cfRule type="cellIs" dxfId="120" priority="49" operator="equal">
      <formula>"No"</formula>
    </cfRule>
    <cfRule type="cellIs" dxfId="119" priority="50" operator="equal">
      <formula>"Yes"</formula>
    </cfRule>
  </conditionalFormatting>
  <conditionalFormatting sqref="H4">
    <cfRule type="cellIs" dxfId="118" priority="42" operator="equal">
      <formula>"Fixing"</formula>
    </cfRule>
    <cfRule type="cellIs" dxfId="117" priority="43" operator="equal">
      <formula>"Working"</formula>
    </cfRule>
    <cfRule type="cellIs" dxfId="116" priority="44" operator="equal">
      <formula>"Not started"</formula>
    </cfRule>
    <cfRule type="cellIs" dxfId="115" priority="45" operator="equal">
      <formula>"Completed"</formula>
    </cfRule>
    <cfRule type="cellIs" dxfId="114" priority="46" operator="equal">
      <formula>"Completed"</formula>
    </cfRule>
  </conditionalFormatting>
  <conditionalFormatting sqref="H5">
    <cfRule type="cellIs" dxfId="113" priority="37" operator="equal">
      <formula>"Fixing"</formula>
    </cfRule>
    <cfRule type="cellIs" dxfId="112" priority="38" operator="equal">
      <formula>"Working"</formula>
    </cfRule>
    <cfRule type="cellIs" dxfId="111" priority="39" operator="equal">
      <formula>"Not started"</formula>
    </cfRule>
    <cfRule type="cellIs" dxfId="110" priority="40" operator="equal">
      <formula>"Completed"</formula>
    </cfRule>
    <cfRule type="cellIs" dxfId="109" priority="41" operator="equal">
      <formula>"Completed"</formula>
    </cfRule>
  </conditionalFormatting>
  <conditionalFormatting sqref="H6">
    <cfRule type="cellIs" dxfId="108" priority="32" operator="equal">
      <formula>"Fixing"</formula>
    </cfRule>
    <cfRule type="cellIs" dxfId="107" priority="33" operator="equal">
      <formula>"Working"</formula>
    </cfRule>
    <cfRule type="cellIs" dxfId="106" priority="34" operator="equal">
      <formula>"Not started"</formula>
    </cfRule>
    <cfRule type="cellIs" dxfId="105" priority="35" operator="equal">
      <formula>"Completed"</formula>
    </cfRule>
    <cfRule type="cellIs" dxfId="104" priority="36" operator="equal">
      <formula>"Completed"</formula>
    </cfRule>
  </conditionalFormatting>
  <conditionalFormatting sqref="H7">
    <cfRule type="cellIs" dxfId="103" priority="27" operator="equal">
      <formula>"Fixing"</formula>
    </cfRule>
    <cfRule type="cellIs" dxfId="102" priority="28" operator="equal">
      <formula>"Working"</formula>
    </cfRule>
    <cfRule type="cellIs" dxfId="101" priority="29" operator="equal">
      <formula>"Not started"</formula>
    </cfRule>
    <cfRule type="cellIs" dxfId="100" priority="30" operator="equal">
      <formula>"Completed"</formula>
    </cfRule>
    <cfRule type="cellIs" dxfId="99" priority="31" operator="equal">
      <formula>"Completed"</formula>
    </cfRule>
  </conditionalFormatting>
  <conditionalFormatting sqref="N7:N14">
    <cfRule type="cellIs" dxfId="98" priority="17" operator="equal">
      <formula>"Code"</formula>
    </cfRule>
    <cfRule type="cellIs" dxfId="97" priority="18" operator="equal">
      <formula>"Efficiency"</formula>
    </cfRule>
    <cfRule type="cellIs" dxfId="96" priority="19" operator="equal">
      <formula>"JavaFX"</formula>
    </cfRule>
    <cfRule type="cellIs" dxfId="95" priority="20" operator="equal">
      <formula>"FER"</formula>
    </cfRule>
    <cfRule type="cellIs" dxfId="94" priority="21" operator="equal">
      <formula>"Database"</formula>
    </cfRule>
    <cfRule type="cellIs" dxfId="93" priority="22" operator="equal">
      <formula>"GUI"</formula>
    </cfRule>
    <cfRule type="cellIs" dxfId="92" priority="23" operator="equal">
      <formula>"User"</formula>
    </cfRule>
    <cfRule type="cellIs" dxfId="91" priority="24" operator="equal">
      <formula>"Exams"</formula>
    </cfRule>
    <cfRule type="cellIs" dxfId="90" priority="25" operator="equal">
      <formula>"Exercises"</formula>
    </cfRule>
    <cfRule type="cellIs" dxfId="89" priority="26" operator="equal">
      <formula>"Lessons"</formula>
    </cfRule>
  </conditionalFormatting>
  <conditionalFormatting sqref="R4:R7">
    <cfRule type="cellIs" dxfId="88" priority="13" operator="equal">
      <formula>"Fixing"</formula>
    </cfRule>
    <cfRule type="cellIs" dxfId="87" priority="14" operator="equal">
      <formula>"Fixed"</formula>
    </cfRule>
    <cfRule type="cellIs" dxfId="86" priority="15" operator="equal">
      <formula>"Error"</formula>
    </cfRule>
    <cfRule type="cellIs" dxfId="85" priority="16" operator="equal">
      <formula>"Finished"</formula>
    </cfRule>
  </conditionalFormatting>
  <conditionalFormatting sqref="R9">
    <cfRule type="cellIs" dxfId="84" priority="9" operator="equal">
      <formula>"Fixing"</formula>
    </cfRule>
    <cfRule type="cellIs" dxfId="83" priority="10" operator="equal">
      <formula>"Fixed"</formula>
    </cfRule>
    <cfRule type="cellIs" dxfId="82" priority="11" operator="equal">
      <formula>"Error"</formula>
    </cfRule>
    <cfRule type="cellIs" dxfId="81" priority="12" operator="equal">
      <formula>"Finished"</formula>
    </cfRule>
  </conditionalFormatting>
  <conditionalFormatting sqref="R8">
    <cfRule type="cellIs" dxfId="80" priority="4" operator="equal">
      <formula>"Not Started"</formula>
    </cfRule>
    <cfRule type="cellIs" dxfId="79" priority="5" operator="equal">
      <formula>"Fixing"</formula>
    </cfRule>
    <cfRule type="cellIs" dxfId="78" priority="6" operator="equal">
      <formula>"Fixed"</formula>
    </cfRule>
    <cfRule type="cellIs" dxfId="77" priority="7" operator="equal">
      <formula>"Error"</formula>
    </cfRule>
    <cfRule type="cellIs" dxfId="76" priority="8" operator="equal">
      <formula>"Finished"</formula>
    </cfRule>
  </conditionalFormatting>
  <conditionalFormatting sqref="N4:N6">
    <cfRule type="cellIs" dxfId="75" priority="1" operator="equal">
      <formula>"WhiteBox"</formula>
    </cfRule>
    <cfRule type="cellIs" dxfId="74" priority="2" operator="equal">
      <formula>"BlackBox"</formula>
    </cfRule>
    <cfRule type="cellIs" dxfId="73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84" t="s">
        <v>13</v>
      </c>
      <c r="B1" s="184"/>
      <c r="C1" s="184"/>
      <c r="D1" s="184"/>
      <c r="E1" s="184"/>
      <c r="F1" s="184"/>
      <c r="G1" s="184"/>
      <c r="H1" s="184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85" t="s">
        <v>196</v>
      </c>
      <c r="C15" s="185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86" t="s">
        <v>348</v>
      </c>
      <c r="F31" s="186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87" t="s">
        <v>383</v>
      </c>
      <c r="C35" s="187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72" priority="5" operator="equal">
      <formula>"Some"</formula>
    </cfRule>
    <cfRule type="cellIs" dxfId="71" priority="6" operator="equal">
      <formula>"Some"</formula>
    </cfRule>
    <cfRule type="cellIs" dxfId="70" priority="7" operator="equal">
      <formula>"No"</formula>
    </cfRule>
    <cfRule type="cellIs" dxfId="69" priority="8" operator="equal">
      <formula>"Yes"</formula>
    </cfRule>
  </conditionalFormatting>
  <conditionalFormatting sqref="M10">
    <cfRule type="cellIs" dxfId="68" priority="1" operator="equal">
      <formula>"Some"</formula>
    </cfRule>
  </conditionalFormatting>
  <conditionalFormatting sqref="M10">
    <cfRule type="cellIs" dxfId="67" priority="2" operator="equal">
      <formula>"Some"</formula>
    </cfRule>
  </conditionalFormatting>
  <conditionalFormatting sqref="M10">
    <cfRule type="cellIs" dxfId="66" priority="3" operator="equal">
      <formula>"No"</formula>
    </cfRule>
  </conditionalFormatting>
  <conditionalFormatting sqref="M10">
    <cfRule type="cellIs" dxfId="6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96" t="s">
        <v>52</v>
      </c>
      <c r="B3" s="195" t="s">
        <v>58</v>
      </c>
      <c r="C3" s="13" t="s">
        <v>74</v>
      </c>
      <c r="D3" s="27" t="s">
        <v>60</v>
      </c>
      <c r="E3" s="194" t="s">
        <v>70</v>
      </c>
    </row>
    <row r="4" spans="1:6" ht="12" customHeight="1" x14ac:dyDescent="0.2">
      <c r="A4" s="196"/>
      <c r="B4" s="195"/>
      <c r="C4" s="13" t="s">
        <v>61</v>
      </c>
      <c r="D4" s="27" t="s">
        <v>60</v>
      </c>
      <c r="E4" s="194"/>
    </row>
    <row r="5" spans="1:6" ht="12" customHeight="1" x14ac:dyDescent="0.2">
      <c r="A5" s="196"/>
      <c r="B5" s="195"/>
      <c r="C5" s="13" t="s">
        <v>62</v>
      </c>
      <c r="D5" s="27" t="s">
        <v>60</v>
      </c>
      <c r="E5" s="194"/>
    </row>
    <row r="6" spans="1:6" ht="12" customHeight="1" x14ac:dyDescent="0.2">
      <c r="A6" s="196"/>
      <c r="B6" s="195"/>
      <c r="C6" s="13" t="s">
        <v>63</v>
      </c>
      <c r="D6" s="27" t="s">
        <v>60</v>
      </c>
      <c r="E6" s="194"/>
    </row>
    <row r="7" spans="1:6" ht="12" customHeight="1" x14ac:dyDescent="0.2">
      <c r="A7" s="196"/>
      <c r="B7" s="195"/>
      <c r="C7" s="13" t="s">
        <v>71</v>
      </c>
      <c r="D7" s="27" t="s">
        <v>60</v>
      </c>
      <c r="E7" s="194"/>
    </row>
    <row r="8" spans="1:6" ht="12" customHeight="1" x14ac:dyDescent="0.2">
      <c r="A8" s="196"/>
      <c r="B8" s="195"/>
      <c r="C8" s="13" t="s">
        <v>66</v>
      </c>
      <c r="D8" s="27" t="s">
        <v>60</v>
      </c>
      <c r="E8" s="194"/>
    </row>
    <row r="9" spans="1:6" ht="12" customHeight="1" x14ac:dyDescent="0.2">
      <c r="A9" s="196"/>
      <c r="B9" s="195"/>
      <c r="C9" s="13" t="s">
        <v>65</v>
      </c>
      <c r="D9" s="27" t="s">
        <v>60</v>
      </c>
      <c r="E9" s="194"/>
    </row>
    <row r="10" spans="1:6" ht="15" customHeight="1" x14ac:dyDescent="0.2">
      <c r="A10" s="196"/>
      <c r="B10" s="195"/>
      <c r="C10" s="13" t="s">
        <v>72</v>
      </c>
      <c r="D10" s="27" t="s">
        <v>60</v>
      </c>
      <c r="E10" s="194"/>
    </row>
    <row r="11" spans="1:6" x14ac:dyDescent="0.2">
      <c r="A11" s="196"/>
      <c r="B11" s="66" t="s">
        <v>87</v>
      </c>
      <c r="C11" s="13" t="s">
        <v>73</v>
      </c>
      <c r="D11" s="27" t="s">
        <v>60</v>
      </c>
      <c r="E11" s="194"/>
    </row>
    <row r="12" spans="1:6" x14ac:dyDescent="0.2">
      <c r="A12" s="196" t="s">
        <v>58</v>
      </c>
      <c r="C12" s="13" t="s">
        <v>88</v>
      </c>
      <c r="D12" s="27" t="s">
        <v>64</v>
      </c>
      <c r="E12" s="194" t="s">
        <v>84</v>
      </c>
    </row>
    <row r="13" spans="1:6" ht="24" x14ac:dyDescent="0.2">
      <c r="A13" s="196"/>
      <c r="B13" s="67" t="s">
        <v>222</v>
      </c>
      <c r="C13" s="13" t="s">
        <v>89</v>
      </c>
      <c r="D13" s="27" t="s">
        <v>60</v>
      </c>
      <c r="E13" s="194"/>
    </row>
    <row r="14" spans="1:6" ht="24" x14ac:dyDescent="0.2">
      <c r="A14" s="196" t="s">
        <v>87</v>
      </c>
      <c r="B14" s="67">
        <v>42621</v>
      </c>
      <c r="C14" s="13" t="s">
        <v>124</v>
      </c>
      <c r="D14" s="27" t="s">
        <v>60</v>
      </c>
      <c r="E14" s="194" t="s">
        <v>90</v>
      </c>
    </row>
    <row r="15" spans="1:6" ht="24" x14ac:dyDescent="0.2">
      <c r="A15" s="196"/>
      <c r="C15" s="13" t="s">
        <v>91</v>
      </c>
      <c r="D15" s="27" t="s">
        <v>64</v>
      </c>
      <c r="E15" s="194"/>
    </row>
    <row r="16" spans="1:6" x14ac:dyDescent="0.2">
      <c r="A16" s="196"/>
      <c r="C16" s="13" t="s">
        <v>96</v>
      </c>
      <c r="D16" s="27" t="s">
        <v>64</v>
      </c>
      <c r="E16" s="194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197" t="s">
        <v>109</v>
      </c>
      <c r="B18" s="67">
        <v>42712</v>
      </c>
      <c r="C18" s="13" t="s">
        <v>110</v>
      </c>
      <c r="D18" s="27" t="s">
        <v>60</v>
      </c>
      <c r="E18" s="189" t="s">
        <v>113</v>
      </c>
    </row>
    <row r="19" spans="1:5" x14ac:dyDescent="0.2">
      <c r="A19" s="197"/>
      <c r="B19" s="67" t="s">
        <v>109</v>
      </c>
      <c r="C19" s="13" t="s">
        <v>111</v>
      </c>
      <c r="D19" s="27" t="s">
        <v>60</v>
      </c>
      <c r="E19" s="189"/>
    </row>
    <row r="20" spans="1:5" x14ac:dyDescent="0.2">
      <c r="A20" s="197"/>
      <c r="B20" s="67" t="s">
        <v>115</v>
      </c>
      <c r="C20" s="13" t="s">
        <v>112</v>
      </c>
      <c r="D20" s="27" t="s">
        <v>60</v>
      </c>
      <c r="E20" s="189"/>
    </row>
    <row r="21" spans="1:5" x14ac:dyDescent="0.2">
      <c r="A21" s="190" t="s">
        <v>125</v>
      </c>
      <c r="C21" s="13" t="s">
        <v>126</v>
      </c>
      <c r="D21" s="27" t="s">
        <v>64</v>
      </c>
      <c r="E21" s="189" t="s">
        <v>129</v>
      </c>
    </row>
    <row r="22" spans="1:5" x14ac:dyDescent="0.2">
      <c r="A22" s="190"/>
      <c r="C22" s="13" t="s">
        <v>127</v>
      </c>
      <c r="D22" s="27" t="s">
        <v>64</v>
      </c>
      <c r="E22" s="189"/>
    </row>
    <row r="23" spans="1:5" ht="15" customHeight="1" x14ac:dyDescent="0.2">
      <c r="A23" s="190" t="s">
        <v>131</v>
      </c>
      <c r="B23" s="188" t="s">
        <v>131</v>
      </c>
      <c r="C23" s="13" t="s">
        <v>133</v>
      </c>
      <c r="D23" s="27" t="s">
        <v>60</v>
      </c>
      <c r="E23" s="189" t="s">
        <v>135</v>
      </c>
    </row>
    <row r="24" spans="1:5" ht="15" customHeight="1" x14ac:dyDescent="0.2">
      <c r="A24" s="190"/>
      <c r="B24" s="188"/>
      <c r="C24" s="13" t="s">
        <v>134</v>
      </c>
      <c r="D24" s="27" t="s">
        <v>60</v>
      </c>
      <c r="E24" s="189"/>
    </row>
    <row r="25" spans="1:5" ht="15" customHeight="1" x14ac:dyDescent="0.2">
      <c r="A25" s="190"/>
      <c r="B25" s="188"/>
      <c r="C25" s="13" t="s">
        <v>138</v>
      </c>
      <c r="D25" s="27" t="s">
        <v>60</v>
      </c>
      <c r="E25" s="189"/>
    </row>
    <row r="26" spans="1:5" ht="12" customHeight="1" x14ac:dyDescent="0.2">
      <c r="A26" s="198">
        <v>42588</v>
      </c>
      <c r="B26" s="202">
        <v>42588</v>
      </c>
      <c r="C26" s="58" t="s">
        <v>142</v>
      </c>
      <c r="D26" s="59" t="s">
        <v>60</v>
      </c>
      <c r="E26" s="200" t="s">
        <v>143</v>
      </c>
    </row>
    <row r="27" spans="1:5" ht="12" customHeight="1" x14ac:dyDescent="0.2">
      <c r="A27" s="199"/>
      <c r="B27" s="202"/>
      <c r="C27" s="58" t="s">
        <v>144</v>
      </c>
      <c r="D27" s="59" t="s">
        <v>60</v>
      </c>
      <c r="E27" s="201"/>
    </row>
    <row r="28" spans="1:5" ht="15" customHeight="1" x14ac:dyDescent="0.2">
      <c r="A28" s="199"/>
      <c r="B28" s="202"/>
      <c r="C28" s="58" t="s">
        <v>145</v>
      </c>
      <c r="D28" s="59" t="s">
        <v>60</v>
      </c>
      <c r="E28" s="201"/>
    </row>
    <row r="29" spans="1:5" ht="15" customHeight="1" x14ac:dyDescent="0.2">
      <c r="A29" s="199"/>
      <c r="B29" s="202"/>
      <c r="C29" s="58" t="s">
        <v>146</v>
      </c>
      <c r="D29" s="59" t="s">
        <v>60</v>
      </c>
      <c r="E29" s="201"/>
    </row>
    <row r="30" spans="1:5" ht="24" x14ac:dyDescent="0.2">
      <c r="A30" s="190">
        <v>42621</v>
      </c>
      <c r="B30" s="67">
        <v>42712</v>
      </c>
      <c r="C30" s="13" t="s">
        <v>149</v>
      </c>
      <c r="D30" s="27" t="s">
        <v>60</v>
      </c>
      <c r="E30" s="189" t="s">
        <v>150</v>
      </c>
    </row>
    <row r="31" spans="1:5" ht="24" x14ac:dyDescent="0.2">
      <c r="A31" s="190"/>
      <c r="B31" s="67">
        <v>42712</v>
      </c>
      <c r="C31" s="13" t="s">
        <v>152</v>
      </c>
      <c r="D31" s="27" t="s">
        <v>60</v>
      </c>
      <c r="E31" s="189"/>
    </row>
    <row r="32" spans="1:5" ht="15" customHeight="1" x14ac:dyDescent="0.2">
      <c r="A32" s="190">
        <v>42651</v>
      </c>
      <c r="B32" s="188">
        <v>42651</v>
      </c>
      <c r="C32" s="13" t="s">
        <v>177</v>
      </c>
      <c r="D32" s="59" t="s">
        <v>60</v>
      </c>
      <c r="E32" s="193" t="s">
        <v>153</v>
      </c>
    </row>
    <row r="33" spans="1:6" ht="15" customHeight="1" x14ac:dyDescent="0.2">
      <c r="A33" s="190"/>
      <c r="B33" s="188"/>
      <c r="C33" s="13" t="s">
        <v>176</v>
      </c>
      <c r="D33" s="59" t="s">
        <v>60</v>
      </c>
      <c r="E33" s="193"/>
    </row>
    <row r="34" spans="1:6" ht="15" customHeight="1" x14ac:dyDescent="0.2">
      <c r="A34" s="190"/>
      <c r="B34" s="188"/>
      <c r="C34" s="13" t="s">
        <v>178</v>
      </c>
      <c r="D34" s="59" t="s">
        <v>60</v>
      </c>
      <c r="E34" s="193"/>
    </row>
    <row r="35" spans="1:6" ht="15" customHeight="1" x14ac:dyDescent="0.2">
      <c r="A35" s="190"/>
      <c r="B35" s="188"/>
      <c r="C35" s="13" t="s">
        <v>155</v>
      </c>
      <c r="D35" s="59" t="s">
        <v>60</v>
      </c>
      <c r="E35" s="193"/>
      <c r="F35" s="191" t="s">
        <v>175</v>
      </c>
    </row>
    <row r="36" spans="1:6" ht="20.25" customHeight="1" x14ac:dyDescent="0.2">
      <c r="A36" s="190"/>
      <c r="B36" s="188"/>
      <c r="C36" s="13" t="s">
        <v>156</v>
      </c>
      <c r="D36" s="59" t="s">
        <v>60</v>
      </c>
      <c r="E36" s="193"/>
      <c r="F36" s="192"/>
    </row>
    <row r="37" spans="1:6" ht="15" customHeight="1" x14ac:dyDescent="0.2">
      <c r="A37" s="190"/>
      <c r="B37" s="188"/>
      <c r="C37" s="13" t="s">
        <v>157</v>
      </c>
      <c r="D37" s="27" t="s">
        <v>60</v>
      </c>
      <c r="E37" s="193"/>
    </row>
    <row r="38" spans="1:6" ht="15" customHeight="1" x14ac:dyDescent="0.2">
      <c r="A38" s="190"/>
      <c r="B38" s="188"/>
      <c r="C38" s="13" t="s">
        <v>158</v>
      </c>
      <c r="D38" s="27" t="s">
        <v>60</v>
      </c>
      <c r="E38" s="193"/>
    </row>
    <row r="39" spans="1:6" x14ac:dyDescent="0.2">
      <c r="A39" s="190"/>
      <c r="C39" s="13" t="s">
        <v>162</v>
      </c>
      <c r="D39" s="27" t="s">
        <v>64</v>
      </c>
      <c r="E39" s="193"/>
    </row>
    <row r="40" spans="1:6" x14ac:dyDescent="0.2">
      <c r="A40" s="190"/>
      <c r="B40" s="67" t="s">
        <v>183</v>
      </c>
      <c r="C40" s="13" t="s">
        <v>161</v>
      </c>
      <c r="D40" s="27" t="s">
        <v>60</v>
      </c>
      <c r="E40" s="193"/>
    </row>
    <row r="41" spans="1:6" ht="15" customHeight="1" x14ac:dyDescent="0.2">
      <c r="A41" s="190"/>
      <c r="B41" s="188" t="s">
        <v>193</v>
      </c>
      <c r="C41" s="13" t="s">
        <v>159</v>
      </c>
      <c r="D41" s="27" t="s">
        <v>60</v>
      </c>
      <c r="E41" s="193"/>
    </row>
    <row r="42" spans="1:6" ht="15" customHeight="1" x14ac:dyDescent="0.2">
      <c r="A42" s="190"/>
      <c r="B42" s="188"/>
      <c r="C42" s="13" t="s">
        <v>160</v>
      </c>
      <c r="D42" s="27" t="s">
        <v>60</v>
      </c>
      <c r="E42" s="193"/>
    </row>
    <row r="43" spans="1:6" x14ac:dyDescent="0.2">
      <c r="A43" s="190"/>
      <c r="C43" s="13" t="s">
        <v>165</v>
      </c>
      <c r="D43" s="27" t="s">
        <v>120</v>
      </c>
      <c r="E43" s="193"/>
    </row>
    <row r="44" spans="1:6" x14ac:dyDescent="0.2">
      <c r="A44" s="190"/>
      <c r="C44" s="13" t="s">
        <v>166</v>
      </c>
      <c r="D44" s="27" t="s">
        <v>120</v>
      </c>
      <c r="E44" s="193"/>
    </row>
    <row r="45" spans="1:6" x14ac:dyDescent="0.2">
      <c r="A45" s="190"/>
      <c r="B45" s="67">
        <v>42712</v>
      </c>
      <c r="C45" s="13" t="s">
        <v>168</v>
      </c>
      <c r="D45" s="27" t="s">
        <v>60</v>
      </c>
      <c r="E45" s="193"/>
    </row>
    <row r="46" spans="1:6" x14ac:dyDescent="0.2">
      <c r="A46" s="190">
        <v>42712</v>
      </c>
      <c r="C46" s="13" t="s">
        <v>169</v>
      </c>
      <c r="D46" s="27" t="s">
        <v>120</v>
      </c>
      <c r="E46" s="189" t="s">
        <v>170</v>
      </c>
    </row>
    <row r="47" spans="1:6" x14ac:dyDescent="0.2">
      <c r="A47" s="190"/>
      <c r="C47" s="13" t="s">
        <v>172</v>
      </c>
      <c r="D47" s="27" t="s">
        <v>120</v>
      </c>
      <c r="E47" s="189"/>
    </row>
    <row r="48" spans="1:6" ht="24" x14ac:dyDescent="0.2">
      <c r="A48" s="190"/>
      <c r="B48" s="188">
        <v>42712</v>
      </c>
      <c r="C48" s="13" t="s">
        <v>173</v>
      </c>
      <c r="D48" s="27" t="s">
        <v>60</v>
      </c>
      <c r="E48" s="189"/>
    </row>
    <row r="49" spans="1:5" ht="15" customHeight="1" x14ac:dyDescent="0.2">
      <c r="A49" s="190"/>
      <c r="B49" s="188"/>
      <c r="C49" s="13" t="s">
        <v>179</v>
      </c>
      <c r="D49" s="27" t="s">
        <v>60</v>
      </c>
      <c r="E49" s="189"/>
    </row>
    <row r="50" spans="1:5" ht="15" customHeight="1" x14ac:dyDescent="0.2">
      <c r="A50" s="190"/>
      <c r="B50" s="188"/>
      <c r="C50" s="13" t="s">
        <v>180</v>
      </c>
      <c r="D50" s="27" t="s">
        <v>60</v>
      </c>
      <c r="E50" s="189"/>
    </row>
    <row r="51" spans="1:5" ht="15" customHeight="1" x14ac:dyDescent="0.2">
      <c r="A51" s="190"/>
      <c r="B51" s="188"/>
      <c r="C51" s="13" t="s">
        <v>179</v>
      </c>
      <c r="D51" s="27" t="s">
        <v>60</v>
      </c>
      <c r="E51" s="189"/>
    </row>
    <row r="52" spans="1:5" ht="15" customHeight="1" x14ac:dyDescent="0.2">
      <c r="A52" s="190"/>
      <c r="B52" s="188"/>
      <c r="C52" s="13" t="s">
        <v>180</v>
      </c>
      <c r="D52" s="27" t="s">
        <v>60</v>
      </c>
      <c r="E52" s="189"/>
    </row>
    <row r="53" spans="1:5" ht="15" customHeight="1" x14ac:dyDescent="0.2">
      <c r="A53" s="190"/>
      <c r="B53" s="188"/>
      <c r="C53" s="13" t="s">
        <v>181</v>
      </c>
      <c r="D53" s="27" t="s">
        <v>60</v>
      </c>
      <c r="E53" s="189"/>
    </row>
    <row r="54" spans="1:5" ht="24" x14ac:dyDescent="0.2">
      <c r="A54" s="190" t="s">
        <v>187</v>
      </c>
      <c r="B54" s="71" t="s">
        <v>183</v>
      </c>
      <c r="C54" s="13" t="s">
        <v>185</v>
      </c>
      <c r="D54" s="27" t="s">
        <v>60</v>
      </c>
      <c r="E54" s="189" t="s">
        <v>217</v>
      </c>
    </row>
    <row r="55" spans="1:5" ht="15" customHeight="1" x14ac:dyDescent="0.2">
      <c r="A55" s="190"/>
      <c r="B55" s="73" t="s">
        <v>209</v>
      </c>
      <c r="C55" s="13" t="s">
        <v>186</v>
      </c>
      <c r="D55" s="27" t="s">
        <v>60</v>
      </c>
      <c r="E55" s="189"/>
    </row>
    <row r="56" spans="1:5" ht="15" customHeight="1" x14ac:dyDescent="0.2">
      <c r="A56" s="190"/>
      <c r="B56" s="188" t="s">
        <v>183</v>
      </c>
      <c r="C56" s="13" t="s">
        <v>188</v>
      </c>
      <c r="D56" s="27" t="s">
        <v>60</v>
      </c>
      <c r="E56" s="189"/>
    </row>
    <row r="57" spans="1:5" ht="15" customHeight="1" x14ac:dyDescent="0.2">
      <c r="A57" s="190"/>
      <c r="B57" s="188"/>
      <c r="C57" s="13" t="s">
        <v>189</v>
      </c>
      <c r="D57" s="27" t="s">
        <v>60</v>
      </c>
      <c r="E57" s="189"/>
    </row>
    <row r="58" spans="1:5" ht="15" customHeight="1" x14ac:dyDescent="0.2">
      <c r="A58" s="190"/>
      <c r="B58" s="188"/>
      <c r="C58" s="13" t="s">
        <v>190</v>
      </c>
      <c r="D58" s="27" t="s">
        <v>60</v>
      </c>
      <c r="E58" s="189"/>
    </row>
    <row r="59" spans="1:5" ht="15" customHeight="1" x14ac:dyDescent="0.2">
      <c r="A59" s="190"/>
      <c r="B59" s="188"/>
      <c r="C59" s="13" t="s">
        <v>192</v>
      </c>
      <c r="D59" s="27" t="s">
        <v>60</v>
      </c>
      <c r="E59" s="189"/>
    </row>
    <row r="60" spans="1:5" ht="15" customHeight="1" x14ac:dyDescent="0.2">
      <c r="A60" s="190"/>
      <c r="B60" s="188"/>
      <c r="C60" s="13" t="s">
        <v>191</v>
      </c>
      <c r="D60" s="27" t="s">
        <v>60</v>
      </c>
      <c r="E60" s="189"/>
    </row>
    <row r="61" spans="1:5" ht="15" customHeight="1" x14ac:dyDescent="0.2">
      <c r="A61" s="190" t="s">
        <v>193</v>
      </c>
      <c r="B61" s="188" t="s">
        <v>193</v>
      </c>
      <c r="C61" s="13" t="s">
        <v>199</v>
      </c>
      <c r="D61" s="27" t="s">
        <v>60</v>
      </c>
      <c r="E61" s="189" t="s">
        <v>194</v>
      </c>
    </row>
    <row r="62" spans="1:5" ht="15" customHeight="1" x14ac:dyDescent="0.2">
      <c r="A62" s="190"/>
      <c r="B62" s="188"/>
      <c r="C62" s="13" t="s">
        <v>198</v>
      </c>
      <c r="D62" s="27" t="s">
        <v>60</v>
      </c>
      <c r="E62" s="189"/>
    </row>
    <row r="63" spans="1:5" ht="15" customHeight="1" x14ac:dyDescent="0.2">
      <c r="A63" s="190"/>
      <c r="B63" s="188"/>
      <c r="C63" s="13" t="s">
        <v>200</v>
      </c>
      <c r="D63" s="27" t="s">
        <v>60</v>
      </c>
      <c r="E63" s="189"/>
    </row>
    <row r="64" spans="1:5" x14ac:dyDescent="0.2">
      <c r="A64" s="190"/>
      <c r="B64" s="67" t="s">
        <v>232</v>
      </c>
      <c r="C64" s="13" t="s">
        <v>201</v>
      </c>
      <c r="D64" s="27" t="s">
        <v>60</v>
      </c>
      <c r="E64" s="189"/>
    </row>
    <row r="65" spans="1:5" ht="15" customHeight="1" x14ac:dyDescent="0.2">
      <c r="A65" s="190"/>
      <c r="B65" s="188" t="s">
        <v>193</v>
      </c>
      <c r="C65" s="13" t="s">
        <v>205</v>
      </c>
      <c r="D65" s="27" t="s">
        <v>60</v>
      </c>
      <c r="E65" s="189"/>
    </row>
    <row r="66" spans="1:5" ht="15" customHeight="1" x14ac:dyDescent="0.2">
      <c r="A66" s="190"/>
      <c r="B66" s="188"/>
      <c r="C66" s="13" t="s">
        <v>202</v>
      </c>
      <c r="D66" s="27" t="s">
        <v>60</v>
      </c>
      <c r="E66" s="189"/>
    </row>
    <row r="67" spans="1:5" x14ac:dyDescent="0.2">
      <c r="A67" s="190"/>
      <c r="B67" s="67" t="s">
        <v>232</v>
      </c>
      <c r="C67" s="13" t="s">
        <v>203</v>
      </c>
      <c r="D67" s="27" t="s">
        <v>60</v>
      </c>
      <c r="E67" s="189"/>
    </row>
    <row r="68" spans="1:5" x14ac:dyDescent="0.2">
      <c r="A68" s="190"/>
      <c r="B68" s="67" t="s">
        <v>193</v>
      </c>
      <c r="C68" s="13" t="s">
        <v>204</v>
      </c>
      <c r="D68" s="27" t="s">
        <v>60</v>
      </c>
      <c r="E68" s="189"/>
    </row>
    <row r="69" spans="1:5" ht="24" x14ac:dyDescent="0.2">
      <c r="A69" s="190"/>
      <c r="B69" s="67" t="s">
        <v>251</v>
      </c>
      <c r="C69" s="72" t="s">
        <v>206</v>
      </c>
      <c r="D69" s="27" t="s">
        <v>60</v>
      </c>
      <c r="E69" s="189"/>
    </row>
    <row r="70" spans="1:5" x14ac:dyDescent="0.2">
      <c r="A70" s="190"/>
      <c r="C70" s="13" t="s">
        <v>207</v>
      </c>
      <c r="D70" s="27" t="s">
        <v>122</v>
      </c>
      <c r="E70" s="189"/>
    </row>
    <row r="71" spans="1:5" ht="24" x14ac:dyDescent="0.2">
      <c r="A71" s="190"/>
      <c r="C71" s="13" t="s">
        <v>208</v>
      </c>
      <c r="D71" s="27" t="s">
        <v>64</v>
      </c>
      <c r="E71" s="189"/>
    </row>
    <row r="72" spans="1:5" ht="15" customHeight="1" x14ac:dyDescent="0.2">
      <c r="A72" s="190" t="s">
        <v>209</v>
      </c>
      <c r="B72" s="188" t="s">
        <v>222</v>
      </c>
      <c r="C72" s="13" t="s">
        <v>211</v>
      </c>
      <c r="D72" s="27" t="s">
        <v>60</v>
      </c>
      <c r="E72" s="189" t="s">
        <v>215</v>
      </c>
    </row>
    <row r="73" spans="1:5" ht="15" customHeight="1" x14ac:dyDescent="0.2">
      <c r="A73" s="190"/>
      <c r="B73" s="188"/>
      <c r="C73" s="13" t="s">
        <v>212</v>
      </c>
      <c r="D73" s="27" t="s">
        <v>60</v>
      </c>
      <c r="E73" s="189"/>
    </row>
    <row r="74" spans="1:5" ht="15" customHeight="1" x14ac:dyDescent="0.2">
      <c r="A74" s="190"/>
      <c r="B74" s="188"/>
      <c r="C74" s="13" t="s">
        <v>213</v>
      </c>
      <c r="D74" s="27" t="s">
        <v>60</v>
      </c>
      <c r="E74" s="189"/>
    </row>
    <row r="75" spans="1:5" x14ac:dyDescent="0.2">
      <c r="A75" s="190"/>
      <c r="B75" s="67" t="s">
        <v>231</v>
      </c>
      <c r="C75" s="13" t="s">
        <v>214</v>
      </c>
      <c r="D75" s="27" t="s">
        <v>60</v>
      </c>
      <c r="E75" s="189"/>
    </row>
    <row r="76" spans="1:5" x14ac:dyDescent="0.2">
      <c r="A76" s="190"/>
      <c r="C76" s="13" t="s">
        <v>216</v>
      </c>
      <c r="D76" s="27" t="s">
        <v>120</v>
      </c>
      <c r="E76" s="189"/>
    </row>
    <row r="77" spans="1:5" x14ac:dyDescent="0.2">
      <c r="A77" s="190"/>
      <c r="B77" s="67" t="s">
        <v>209</v>
      </c>
      <c r="C77" s="13" t="s">
        <v>220</v>
      </c>
      <c r="D77" s="27" t="s">
        <v>60</v>
      </c>
      <c r="E77" s="189"/>
    </row>
    <row r="78" spans="1:5" ht="24" x14ac:dyDescent="0.2">
      <c r="A78" s="190" t="s">
        <v>222</v>
      </c>
      <c r="B78" s="67" t="s">
        <v>222</v>
      </c>
      <c r="C78" s="13" t="s">
        <v>221</v>
      </c>
      <c r="D78" s="27" t="s">
        <v>60</v>
      </c>
      <c r="E78" s="189" t="s">
        <v>223</v>
      </c>
    </row>
    <row r="79" spans="1:5" x14ac:dyDescent="0.2">
      <c r="A79" s="190"/>
      <c r="C79" s="13" t="s">
        <v>226</v>
      </c>
      <c r="D79" s="27" t="s">
        <v>64</v>
      </c>
      <c r="E79" s="189"/>
    </row>
    <row r="80" spans="1:5" ht="24" x14ac:dyDescent="0.2">
      <c r="A80" s="190"/>
      <c r="B80" s="188" t="s">
        <v>222</v>
      </c>
      <c r="C80" s="13" t="s">
        <v>228</v>
      </c>
      <c r="D80" s="27" t="s">
        <v>60</v>
      </c>
      <c r="E80" s="189"/>
    </row>
    <row r="81" spans="1:5" ht="24" x14ac:dyDescent="0.2">
      <c r="A81" s="190"/>
      <c r="B81" s="188"/>
      <c r="C81" s="13" t="s">
        <v>230</v>
      </c>
      <c r="D81" s="27" t="s">
        <v>60</v>
      </c>
      <c r="E81" s="189"/>
    </row>
    <row r="82" spans="1:5" ht="24" x14ac:dyDescent="0.2">
      <c r="A82" s="190" t="s">
        <v>232</v>
      </c>
      <c r="B82" s="188" t="s">
        <v>239</v>
      </c>
      <c r="C82" s="13" t="s">
        <v>235</v>
      </c>
      <c r="D82" s="27" t="s">
        <v>60</v>
      </c>
      <c r="E82" s="189" t="s">
        <v>234</v>
      </c>
    </row>
    <row r="83" spans="1:5" ht="24" x14ac:dyDescent="0.2">
      <c r="A83" s="190"/>
      <c r="B83" s="188"/>
      <c r="C83" s="13" t="s">
        <v>236</v>
      </c>
      <c r="D83" s="27" t="s">
        <v>60</v>
      </c>
      <c r="E83" s="189"/>
    </row>
    <row r="84" spans="1:5" ht="24" x14ac:dyDescent="0.2">
      <c r="A84" s="190"/>
      <c r="B84" s="67" t="s">
        <v>244</v>
      </c>
      <c r="C84" s="13" t="s">
        <v>237</v>
      </c>
      <c r="D84" s="27" t="s">
        <v>60</v>
      </c>
      <c r="E84" s="189"/>
    </row>
    <row r="85" spans="1:5" ht="24" x14ac:dyDescent="0.2">
      <c r="A85" s="190"/>
      <c r="C85" s="72" t="s">
        <v>268</v>
      </c>
      <c r="D85" s="27" t="s">
        <v>64</v>
      </c>
      <c r="E85" s="189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90" t="s">
        <v>251</v>
      </c>
      <c r="B88" s="188" t="s">
        <v>251</v>
      </c>
      <c r="C88" s="13" t="s">
        <v>253</v>
      </c>
      <c r="D88" s="27" t="s">
        <v>60</v>
      </c>
      <c r="E88" s="189" t="s">
        <v>254</v>
      </c>
    </row>
    <row r="89" spans="1:5" ht="15" customHeight="1" x14ac:dyDescent="0.2">
      <c r="A89" s="190"/>
      <c r="B89" s="188"/>
      <c r="C89" s="13" t="s">
        <v>255</v>
      </c>
      <c r="D89" s="27" t="s">
        <v>60</v>
      </c>
      <c r="E89" s="189"/>
    </row>
    <row r="90" spans="1:5" ht="24" x14ac:dyDescent="0.2">
      <c r="A90" s="190"/>
      <c r="B90" s="188"/>
      <c r="C90" s="13" t="s">
        <v>258</v>
      </c>
      <c r="D90" s="27" t="s">
        <v>60</v>
      </c>
      <c r="E90" s="189"/>
    </row>
    <row r="91" spans="1:5" ht="15" customHeight="1" x14ac:dyDescent="0.2">
      <c r="A91" s="190"/>
      <c r="B91" s="188"/>
      <c r="C91" s="13" t="s">
        <v>257</v>
      </c>
      <c r="D91" s="27" t="s">
        <v>60</v>
      </c>
      <c r="E91" s="189"/>
    </row>
    <row r="92" spans="1:5" ht="24" x14ac:dyDescent="0.2">
      <c r="A92" s="190"/>
      <c r="B92" s="67" t="s">
        <v>262</v>
      </c>
      <c r="C92" s="13" t="s">
        <v>256</v>
      </c>
      <c r="D92" s="27" t="s">
        <v>60</v>
      </c>
      <c r="E92" s="189"/>
    </row>
    <row r="93" spans="1:5" ht="24" x14ac:dyDescent="0.2">
      <c r="A93" s="190"/>
      <c r="B93" s="188" t="s">
        <v>251</v>
      </c>
      <c r="C93" s="13" t="s">
        <v>259</v>
      </c>
      <c r="D93" s="27" t="s">
        <v>60</v>
      </c>
      <c r="E93" s="189"/>
    </row>
    <row r="94" spans="1:5" ht="24" x14ac:dyDescent="0.2">
      <c r="A94" s="190"/>
      <c r="B94" s="188"/>
      <c r="C94" s="13" t="s">
        <v>260</v>
      </c>
      <c r="D94" s="27" t="s">
        <v>60</v>
      </c>
      <c r="E94" s="189"/>
    </row>
    <row r="95" spans="1:5" ht="15" customHeight="1" x14ac:dyDescent="0.2">
      <c r="A95" s="190"/>
      <c r="B95" s="188"/>
      <c r="C95" s="13" t="s">
        <v>261</v>
      </c>
      <c r="D95" s="27" t="s">
        <v>60</v>
      </c>
      <c r="E95" s="189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90" t="s">
        <v>269</v>
      </c>
      <c r="B97" s="188" t="s">
        <v>269</v>
      </c>
      <c r="C97" s="13" t="s">
        <v>270</v>
      </c>
      <c r="D97" s="27" t="s">
        <v>60</v>
      </c>
      <c r="E97" s="189" t="s">
        <v>271</v>
      </c>
    </row>
    <row r="98" spans="1:5" ht="15" customHeight="1" x14ac:dyDescent="0.2">
      <c r="A98" s="190"/>
      <c r="B98" s="188"/>
      <c r="C98" s="13" t="s">
        <v>274</v>
      </c>
      <c r="D98" s="27" t="s">
        <v>60</v>
      </c>
      <c r="E98" s="189"/>
    </row>
    <row r="99" spans="1:5" ht="24" x14ac:dyDescent="0.2">
      <c r="A99" s="190"/>
      <c r="B99" s="67" t="s">
        <v>330</v>
      </c>
      <c r="C99" s="13" t="s">
        <v>275</v>
      </c>
      <c r="D99" s="27" t="s">
        <v>60</v>
      </c>
      <c r="E99" s="189"/>
    </row>
    <row r="100" spans="1:5" x14ac:dyDescent="0.2">
      <c r="A100" s="190" t="s">
        <v>276</v>
      </c>
      <c r="B100" s="67" t="s">
        <v>276</v>
      </c>
      <c r="C100" s="13" t="s">
        <v>278</v>
      </c>
      <c r="D100" s="27" t="s">
        <v>60</v>
      </c>
      <c r="E100" s="189" t="s">
        <v>279</v>
      </c>
    </row>
    <row r="101" spans="1:5" x14ac:dyDescent="0.2">
      <c r="A101" s="190"/>
      <c r="B101" s="67" t="s">
        <v>330</v>
      </c>
      <c r="C101" s="13" t="s">
        <v>281</v>
      </c>
      <c r="D101" s="27" t="s">
        <v>60</v>
      </c>
      <c r="E101" s="189"/>
    </row>
    <row r="102" spans="1:5" x14ac:dyDescent="0.2">
      <c r="A102" s="190"/>
      <c r="C102" s="13" t="s">
        <v>282</v>
      </c>
      <c r="D102" s="27" t="s">
        <v>64</v>
      </c>
      <c r="E102" s="189"/>
    </row>
    <row r="103" spans="1:5" x14ac:dyDescent="0.2">
      <c r="A103" s="190"/>
      <c r="B103" s="67" t="s">
        <v>310</v>
      </c>
      <c r="C103" s="13" t="s">
        <v>283</v>
      </c>
      <c r="D103" s="27" t="s">
        <v>60</v>
      </c>
      <c r="E103" s="189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90" t="s">
        <v>294</v>
      </c>
      <c r="B105" s="188" t="s">
        <v>310</v>
      </c>
      <c r="C105" s="13" t="s">
        <v>309</v>
      </c>
      <c r="D105" s="27" t="s">
        <v>60</v>
      </c>
      <c r="E105" s="189" t="s">
        <v>295</v>
      </c>
    </row>
    <row r="106" spans="1:5" ht="15" customHeight="1" x14ac:dyDescent="0.2">
      <c r="A106" s="190"/>
      <c r="B106" s="188"/>
      <c r="C106" s="13" t="s">
        <v>296</v>
      </c>
      <c r="D106" s="27" t="s">
        <v>60</v>
      </c>
      <c r="E106" s="189"/>
    </row>
    <row r="107" spans="1:5" x14ac:dyDescent="0.2">
      <c r="A107" s="190"/>
      <c r="B107" s="67" t="s">
        <v>330</v>
      </c>
      <c r="C107" s="13" t="s">
        <v>297</v>
      </c>
      <c r="D107" s="27" t="s">
        <v>60</v>
      </c>
      <c r="E107" s="189"/>
    </row>
    <row r="108" spans="1:5" ht="15" customHeight="1" x14ac:dyDescent="0.2">
      <c r="A108" s="190"/>
      <c r="B108" s="188" t="s">
        <v>310</v>
      </c>
      <c r="C108" s="13" t="s">
        <v>298</v>
      </c>
      <c r="D108" s="27" t="s">
        <v>60</v>
      </c>
      <c r="E108" s="189"/>
    </row>
    <row r="109" spans="1:5" ht="15" customHeight="1" x14ac:dyDescent="0.2">
      <c r="A109" s="190"/>
      <c r="B109" s="188"/>
      <c r="C109" s="13" t="s">
        <v>300</v>
      </c>
      <c r="D109" s="27" t="s">
        <v>60</v>
      </c>
      <c r="E109" s="189"/>
    </row>
    <row r="110" spans="1:5" x14ac:dyDescent="0.2">
      <c r="A110" s="190"/>
      <c r="B110" s="67" t="s">
        <v>330</v>
      </c>
      <c r="C110" s="13" t="s">
        <v>301</v>
      </c>
      <c r="D110" s="27" t="s">
        <v>60</v>
      </c>
      <c r="E110" s="189"/>
    </row>
    <row r="111" spans="1:5" ht="15" customHeight="1" x14ac:dyDescent="0.2">
      <c r="A111" s="190"/>
      <c r="B111" s="188" t="s">
        <v>310</v>
      </c>
      <c r="C111" s="13" t="s">
        <v>299</v>
      </c>
      <c r="D111" s="27" t="s">
        <v>60</v>
      </c>
      <c r="E111" s="189"/>
    </row>
    <row r="112" spans="1:5" ht="15" customHeight="1" x14ac:dyDescent="0.2">
      <c r="A112" s="190" t="s">
        <v>310</v>
      </c>
      <c r="B112" s="188"/>
      <c r="C112" s="13" t="s">
        <v>311</v>
      </c>
      <c r="D112" s="27" t="s">
        <v>60</v>
      </c>
      <c r="E112" s="189" t="s">
        <v>313</v>
      </c>
    </row>
    <row r="113" spans="1:5" ht="15" customHeight="1" x14ac:dyDescent="0.2">
      <c r="A113" s="190"/>
      <c r="B113" s="188"/>
      <c r="C113" s="13" t="s">
        <v>312</v>
      </c>
      <c r="D113" s="27" t="s">
        <v>60</v>
      </c>
      <c r="E113" s="189"/>
    </row>
    <row r="114" spans="1:5" ht="15" customHeight="1" x14ac:dyDescent="0.2">
      <c r="A114" s="190"/>
      <c r="B114" s="188"/>
      <c r="C114" s="13" t="s">
        <v>316</v>
      </c>
      <c r="D114" s="27" t="s">
        <v>60</v>
      </c>
      <c r="E114" s="189"/>
    </row>
    <row r="115" spans="1:5" ht="15" customHeight="1" x14ac:dyDescent="0.2">
      <c r="A115" s="190"/>
      <c r="B115" s="188"/>
      <c r="C115" s="13" t="s">
        <v>317</v>
      </c>
      <c r="D115" s="27" t="s">
        <v>60</v>
      </c>
      <c r="E115" s="189"/>
    </row>
    <row r="116" spans="1:5" ht="15" customHeight="1" x14ac:dyDescent="0.2">
      <c r="A116" s="190"/>
      <c r="B116" s="188"/>
      <c r="C116" s="13" t="s">
        <v>318</v>
      </c>
      <c r="D116" s="27" t="s">
        <v>60</v>
      </c>
      <c r="E116" s="189"/>
    </row>
    <row r="117" spans="1:5" ht="24" x14ac:dyDescent="0.2">
      <c r="A117" s="190"/>
      <c r="C117" s="13" t="s">
        <v>319</v>
      </c>
      <c r="D117" s="27" t="s">
        <v>64</v>
      </c>
      <c r="E117" s="189"/>
    </row>
    <row r="118" spans="1:5" x14ac:dyDescent="0.2">
      <c r="A118" s="190" t="s">
        <v>321</v>
      </c>
      <c r="C118" s="13" t="s">
        <v>322</v>
      </c>
      <c r="D118" s="27" t="s">
        <v>122</v>
      </c>
      <c r="E118" s="189" t="s">
        <v>324</v>
      </c>
    </row>
    <row r="119" spans="1:5" x14ac:dyDescent="0.2">
      <c r="A119" s="190"/>
      <c r="C119" s="13" t="s">
        <v>323</v>
      </c>
      <c r="D119" s="27" t="s">
        <v>122</v>
      </c>
      <c r="E119" s="189"/>
    </row>
    <row r="120" spans="1:5" x14ac:dyDescent="0.2">
      <c r="A120" s="190"/>
      <c r="B120" s="67" t="s">
        <v>321</v>
      </c>
      <c r="C120" s="13" t="s">
        <v>327</v>
      </c>
      <c r="D120" s="27" t="s">
        <v>60</v>
      </c>
      <c r="E120" s="189"/>
    </row>
    <row r="121" spans="1:5" ht="24" x14ac:dyDescent="0.2">
      <c r="A121" s="190"/>
      <c r="B121" s="67" t="s">
        <v>330</v>
      </c>
      <c r="C121" s="13" t="s">
        <v>328</v>
      </c>
      <c r="D121" s="27" t="s">
        <v>60</v>
      </c>
      <c r="E121" s="189"/>
    </row>
    <row r="122" spans="1:5" ht="24" x14ac:dyDescent="0.2">
      <c r="A122" s="190"/>
      <c r="B122" s="67" t="s">
        <v>321</v>
      </c>
      <c r="C122" s="13" t="s">
        <v>329</v>
      </c>
      <c r="D122" s="27" t="s">
        <v>60</v>
      </c>
      <c r="E122" s="189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90">
        <v>42378</v>
      </c>
      <c r="B124" s="188">
        <v>42378</v>
      </c>
      <c r="C124" s="13" t="s">
        <v>338</v>
      </c>
      <c r="D124" s="27" t="s">
        <v>60</v>
      </c>
      <c r="E124" s="189" t="s">
        <v>336</v>
      </c>
    </row>
    <row r="125" spans="1:5" ht="15" customHeight="1" x14ac:dyDescent="0.2">
      <c r="A125" s="190"/>
      <c r="B125" s="188"/>
      <c r="C125" s="13" t="s">
        <v>339</v>
      </c>
      <c r="D125" s="27" t="s">
        <v>60</v>
      </c>
      <c r="E125" s="189"/>
    </row>
    <row r="126" spans="1:5" ht="24" x14ac:dyDescent="0.2">
      <c r="A126" s="190"/>
      <c r="B126" s="188"/>
      <c r="C126" s="13" t="s">
        <v>340</v>
      </c>
      <c r="D126" s="27" t="s">
        <v>60</v>
      </c>
      <c r="E126" s="189"/>
    </row>
    <row r="127" spans="1:5" ht="24" x14ac:dyDescent="0.2">
      <c r="A127" s="190"/>
      <c r="B127" s="188"/>
      <c r="C127" s="13" t="s">
        <v>341</v>
      </c>
      <c r="D127" s="27" t="s">
        <v>60</v>
      </c>
      <c r="E127" s="189"/>
    </row>
    <row r="128" spans="1:5" ht="21" customHeight="1" x14ac:dyDescent="0.2">
      <c r="A128" s="190"/>
      <c r="B128" s="188">
        <v>42438</v>
      </c>
      <c r="C128" s="13" t="s">
        <v>342</v>
      </c>
      <c r="D128" s="27" t="s">
        <v>60</v>
      </c>
      <c r="E128" s="189"/>
    </row>
    <row r="129" spans="1:5" ht="21" customHeight="1" x14ac:dyDescent="0.2">
      <c r="A129" s="190"/>
      <c r="B129" s="188"/>
      <c r="C129" s="13" t="s">
        <v>343</v>
      </c>
      <c r="D129" s="27" t="s">
        <v>60</v>
      </c>
      <c r="E129" s="189"/>
    </row>
    <row r="130" spans="1:5" ht="21" customHeight="1" x14ac:dyDescent="0.2">
      <c r="A130" s="190"/>
      <c r="B130" s="188"/>
      <c r="C130" s="13" t="s">
        <v>344</v>
      </c>
      <c r="D130" s="27" t="s">
        <v>60</v>
      </c>
      <c r="E130" s="189"/>
    </row>
    <row r="131" spans="1:5" ht="21" customHeight="1" x14ac:dyDescent="0.2">
      <c r="A131" s="190"/>
      <c r="B131" s="188"/>
      <c r="C131" s="13" t="s">
        <v>345</v>
      </c>
      <c r="D131" s="27" t="s">
        <v>60</v>
      </c>
      <c r="E131" s="189"/>
    </row>
    <row r="132" spans="1:5" ht="15" customHeight="1" x14ac:dyDescent="0.2">
      <c r="A132" s="190">
        <v>42469</v>
      </c>
      <c r="B132" s="188">
        <v>42469</v>
      </c>
      <c r="C132" s="13" t="s">
        <v>349</v>
      </c>
      <c r="D132" s="27" t="s">
        <v>60</v>
      </c>
      <c r="E132" s="189" t="s">
        <v>346</v>
      </c>
    </row>
    <row r="133" spans="1:5" ht="15" customHeight="1" x14ac:dyDescent="0.2">
      <c r="A133" s="190"/>
      <c r="B133" s="188"/>
      <c r="C133" s="13" t="s">
        <v>350</v>
      </c>
      <c r="D133" s="27" t="s">
        <v>60</v>
      </c>
      <c r="E133" s="189"/>
    </row>
    <row r="134" spans="1:5" ht="15" customHeight="1" x14ac:dyDescent="0.2">
      <c r="A134" s="190"/>
      <c r="B134" s="188"/>
      <c r="C134" s="13" t="s">
        <v>356</v>
      </c>
      <c r="D134" s="27" t="s">
        <v>60</v>
      </c>
      <c r="E134" s="189"/>
    </row>
    <row r="135" spans="1:5" ht="15" customHeight="1" x14ac:dyDescent="0.2">
      <c r="A135" s="190"/>
      <c r="B135" s="188"/>
      <c r="C135" s="13" t="s">
        <v>351</v>
      </c>
      <c r="D135" s="27" t="s">
        <v>60</v>
      </c>
      <c r="E135" s="189"/>
    </row>
    <row r="136" spans="1:5" ht="15" customHeight="1" x14ac:dyDescent="0.2">
      <c r="A136" s="190"/>
      <c r="B136" s="188"/>
      <c r="C136" s="13" t="s">
        <v>352</v>
      </c>
      <c r="D136" s="27" t="s">
        <v>60</v>
      </c>
      <c r="E136" s="189"/>
    </row>
    <row r="137" spans="1:5" ht="15" customHeight="1" x14ac:dyDescent="0.2">
      <c r="A137" s="190"/>
      <c r="B137" s="188"/>
      <c r="C137" s="13" t="s">
        <v>353</v>
      </c>
      <c r="D137" s="27" t="s">
        <v>60</v>
      </c>
      <c r="E137" s="189"/>
    </row>
    <row r="138" spans="1:5" ht="15" customHeight="1" x14ac:dyDescent="0.2">
      <c r="A138" s="190"/>
      <c r="B138" s="188"/>
      <c r="C138" s="13" t="s">
        <v>354</v>
      </c>
      <c r="D138" s="27" t="s">
        <v>60</v>
      </c>
      <c r="E138" s="189"/>
    </row>
    <row r="139" spans="1:5" ht="36" x14ac:dyDescent="0.2">
      <c r="A139" s="190"/>
      <c r="B139" s="67">
        <v>42499</v>
      </c>
      <c r="C139" s="13" t="s">
        <v>355</v>
      </c>
      <c r="D139" s="27" t="s">
        <v>60</v>
      </c>
      <c r="E139" s="189"/>
    </row>
    <row r="140" spans="1:5" ht="24" x14ac:dyDescent="0.2">
      <c r="A140" s="190"/>
      <c r="C140" s="13" t="s">
        <v>427</v>
      </c>
      <c r="D140" s="27" t="s">
        <v>64</v>
      </c>
      <c r="E140" s="189"/>
    </row>
    <row r="141" spans="1:5" ht="24" x14ac:dyDescent="0.2">
      <c r="A141" s="190"/>
      <c r="C141" s="13" t="s">
        <v>426</v>
      </c>
      <c r="D141" s="27" t="s">
        <v>64</v>
      </c>
      <c r="E141" s="189"/>
    </row>
    <row r="142" spans="1:5" ht="36" x14ac:dyDescent="0.2">
      <c r="A142" s="190"/>
      <c r="C142" s="13" t="s">
        <v>358</v>
      </c>
      <c r="D142" s="27" t="s">
        <v>64</v>
      </c>
      <c r="E142" s="189"/>
    </row>
    <row r="143" spans="1:5" x14ac:dyDescent="0.2">
      <c r="A143" s="190"/>
      <c r="C143" s="72" t="s">
        <v>357</v>
      </c>
      <c r="D143" s="27" t="s">
        <v>64</v>
      </c>
      <c r="E143" s="189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90">
        <v>42530</v>
      </c>
      <c r="C145" s="13" t="s">
        <v>367</v>
      </c>
      <c r="D145" s="27" t="s">
        <v>64</v>
      </c>
      <c r="E145" s="189" t="s">
        <v>363</v>
      </c>
      <c r="F145" s="203" t="s">
        <v>369</v>
      </c>
    </row>
    <row r="146" spans="1:6" ht="16.5" customHeight="1" x14ac:dyDescent="0.2">
      <c r="A146" s="190"/>
      <c r="B146" s="89"/>
      <c r="C146" s="13" t="s">
        <v>370</v>
      </c>
      <c r="D146" s="27" t="s">
        <v>64</v>
      </c>
      <c r="E146" s="189"/>
      <c r="F146" s="203"/>
    </row>
    <row r="147" spans="1:6" ht="16.5" customHeight="1" x14ac:dyDescent="0.2">
      <c r="A147" s="190"/>
      <c r="C147" s="13" t="s">
        <v>368</v>
      </c>
      <c r="D147" s="27" t="s">
        <v>64</v>
      </c>
      <c r="E147" s="189"/>
      <c r="F147" s="203"/>
    </row>
    <row r="148" spans="1:6" ht="16.5" customHeight="1" x14ac:dyDescent="0.2">
      <c r="A148" s="190"/>
      <c r="C148" s="13" t="s">
        <v>371</v>
      </c>
      <c r="D148" s="27" t="s">
        <v>64</v>
      </c>
      <c r="E148" s="189"/>
      <c r="F148" s="203"/>
    </row>
    <row r="149" spans="1:6" ht="16.5" customHeight="1" x14ac:dyDescent="0.2">
      <c r="A149" s="190"/>
      <c r="C149" s="13" t="s">
        <v>372</v>
      </c>
      <c r="D149" s="27" t="s">
        <v>64</v>
      </c>
      <c r="E149" s="189"/>
      <c r="F149" s="203"/>
    </row>
    <row r="150" spans="1:6" ht="16.5" customHeight="1" x14ac:dyDescent="0.2">
      <c r="A150" s="190"/>
      <c r="C150" s="13" t="s">
        <v>373</v>
      </c>
      <c r="D150" s="27" t="s">
        <v>64</v>
      </c>
      <c r="E150" s="189"/>
      <c r="F150" s="203"/>
    </row>
    <row r="151" spans="1:6" x14ac:dyDescent="0.2">
      <c r="A151" s="190">
        <v>42591</v>
      </c>
      <c r="C151" s="13" t="s">
        <v>377</v>
      </c>
      <c r="D151" s="27" t="s">
        <v>120</v>
      </c>
      <c r="E151" s="189" t="s">
        <v>375</v>
      </c>
    </row>
    <row r="152" spans="1:6" ht="24" x14ac:dyDescent="0.2">
      <c r="A152" s="190"/>
      <c r="C152" s="13" t="s">
        <v>378</v>
      </c>
      <c r="D152" s="27" t="s">
        <v>120</v>
      </c>
      <c r="E152" s="189"/>
    </row>
    <row r="153" spans="1:6" x14ac:dyDescent="0.2">
      <c r="A153" s="190"/>
      <c r="C153" s="72" t="s">
        <v>379</v>
      </c>
      <c r="D153" s="27" t="s">
        <v>122</v>
      </c>
      <c r="E153" s="189"/>
    </row>
    <row r="154" spans="1:6" ht="15" customHeight="1" x14ac:dyDescent="0.2">
      <c r="A154" s="190">
        <v>42622</v>
      </c>
      <c r="B154" s="188">
        <v>42622</v>
      </c>
      <c r="C154" s="13" t="s">
        <v>380</v>
      </c>
      <c r="D154" s="27" t="s">
        <v>60</v>
      </c>
      <c r="E154" s="189" t="s">
        <v>381</v>
      </c>
    </row>
    <row r="155" spans="1:6" ht="15" customHeight="1" x14ac:dyDescent="0.2">
      <c r="A155" s="190"/>
      <c r="B155" s="188"/>
      <c r="C155" s="13" t="s">
        <v>384</v>
      </c>
      <c r="D155" s="27" t="s">
        <v>60</v>
      </c>
      <c r="E155" s="189"/>
    </row>
    <row r="156" spans="1:6" ht="24" x14ac:dyDescent="0.2">
      <c r="A156" s="190"/>
      <c r="B156" s="188"/>
      <c r="C156" s="13" t="s">
        <v>400</v>
      </c>
      <c r="D156" s="27" t="s">
        <v>60</v>
      </c>
      <c r="E156" s="189"/>
      <c r="F156" s="99" t="s">
        <v>385</v>
      </c>
    </row>
    <row r="157" spans="1:6" x14ac:dyDescent="0.2">
      <c r="A157" s="190"/>
      <c r="B157" s="94"/>
      <c r="C157" s="13" t="s">
        <v>399</v>
      </c>
      <c r="D157" s="27" t="s">
        <v>64</v>
      </c>
      <c r="E157" s="189"/>
      <c r="F157" s="97"/>
    </row>
    <row r="158" spans="1:6" x14ac:dyDescent="0.2">
      <c r="A158" s="190"/>
      <c r="B158" s="67">
        <v>42683</v>
      </c>
      <c r="C158" s="13" t="s">
        <v>386</v>
      </c>
      <c r="D158" s="27" t="s">
        <v>122</v>
      </c>
      <c r="E158" s="189"/>
    </row>
    <row r="159" spans="1:6" x14ac:dyDescent="0.2">
      <c r="A159" s="190"/>
      <c r="B159" s="103">
        <v>42683</v>
      </c>
      <c r="C159" s="13" t="s">
        <v>398</v>
      </c>
      <c r="D159" s="27" t="s">
        <v>60</v>
      </c>
      <c r="E159" s="189"/>
    </row>
    <row r="160" spans="1:6" x14ac:dyDescent="0.2">
      <c r="A160" s="190">
        <v>42652</v>
      </c>
      <c r="B160" s="67">
        <v>42683</v>
      </c>
      <c r="C160" s="13" t="s">
        <v>402</v>
      </c>
      <c r="D160" s="27" t="s">
        <v>122</v>
      </c>
      <c r="E160" s="189" t="s">
        <v>401</v>
      </c>
    </row>
    <row r="161" spans="1:5" ht="24" x14ac:dyDescent="0.2">
      <c r="A161" s="190"/>
      <c r="C161" s="72" t="s">
        <v>408</v>
      </c>
      <c r="D161" s="27" t="s">
        <v>64</v>
      </c>
      <c r="E161" s="189"/>
    </row>
    <row r="162" spans="1:5" ht="24" x14ac:dyDescent="0.2">
      <c r="A162" s="190"/>
      <c r="C162" s="72" t="s">
        <v>407</v>
      </c>
      <c r="D162" s="27" t="s">
        <v>64</v>
      </c>
      <c r="E162" s="189"/>
    </row>
    <row r="163" spans="1:5" x14ac:dyDescent="0.2">
      <c r="A163" s="190"/>
      <c r="B163" s="67">
        <v>42713</v>
      </c>
      <c r="C163" s="72" t="s">
        <v>403</v>
      </c>
      <c r="D163" s="27" t="s">
        <v>60</v>
      </c>
      <c r="E163" s="189"/>
    </row>
    <row r="164" spans="1:5" x14ac:dyDescent="0.2">
      <c r="A164" s="190"/>
      <c r="B164" s="67">
        <v>42683</v>
      </c>
      <c r="C164" s="100" t="s">
        <v>406</v>
      </c>
      <c r="D164" s="27" t="s">
        <v>60</v>
      </c>
      <c r="E164" s="189"/>
    </row>
    <row r="165" spans="1:5" x14ac:dyDescent="0.2">
      <c r="A165" s="190">
        <v>42683</v>
      </c>
      <c r="C165" s="72" t="s">
        <v>409</v>
      </c>
      <c r="D165" s="27" t="s">
        <v>64</v>
      </c>
      <c r="E165" s="189" t="s">
        <v>410</v>
      </c>
    </row>
    <row r="166" spans="1:5" x14ac:dyDescent="0.2">
      <c r="A166" s="190"/>
      <c r="B166" s="67">
        <v>42683</v>
      </c>
      <c r="C166" s="13" t="s">
        <v>414</v>
      </c>
      <c r="D166" s="27" t="s">
        <v>60</v>
      </c>
      <c r="E166" s="189"/>
    </row>
    <row r="167" spans="1:5" x14ac:dyDescent="0.2">
      <c r="A167" s="190"/>
      <c r="B167" s="102">
        <v>42683</v>
      </c>
      <c r="C167" s="13" t="s">
        <v>413</v>
      </c>
      <c r="D167" s="27" t="s">
        <v>60</v>
      </c>
      <c r="E167" s="189"/>
    </row>
    <row r="168" spans="1:5" x14ac:dyDescent="0.2">
      <c r="A168" s="190"/>
      <c r="B168" s="102">
        <v>42683</v>
      </c>
      <c r="C168" s="13" t="s">
        <v>415</v>
      </c>
      <c r="D168" s="27" t="s">
        <v>60</v>
      </c>
      <c r="E168" s="189"/>
    </row>
    <row r="169" spans="1:5" x14ac:dyDescent="0.2">
      <c r="A169" s="190"/>
      <c r="C169" s="13" t="s">
        <v>416</v>
      </c>
      <c r="D169" s="27" t="s">
        <v>64</v>
      </c>
      <c r="E169" s="189"/>
    </row>
    <row r="170" spans="1:5" ht="24" x14ac:dyDescent="0.2">
      <c r="A170" s="190"/>
      <c r="C170" s="13" t="s">
        <v>417</v>
      </c>
      <c r="D170" s="27" t="s">
        <v>64</v>
      </c>
      <c r="E170" s="189"/>
    </row>
    <row r="171" spans="1:5" x14ac:dyDescent="0.2">
      <c r="A171" s="190"/>
      <c r="C171" s="13" t="s">
        <v>419</v>
      </c>
      <c r="D171" s="27" t="s">
        <v>64</v>
      </c>
      <c r="E171" s="189"/>
    </row>
    <row r="172" spans="1:5" x14ac:dyDescent="0.2">
      <c r="A172" s="190">
        <v>42713</v>
      </c>
      <c r="B172" s="105">
        <v>42713</v>
      </c>
      <c r="C172" s="13" t="s">
        <v>420</v>
      </c>
      <c r="D172" s="27" t="s">
        <v>60</v>
      </c>
      <c r="E172" s="189" t="s">
        <v>422</v>
      </c>
    </row>
    <row r="173" spans="1:5" ht="24" x14ac:dyDescent="0.2">
      <c r="A173" s="190"/>
      <c r="C173" s="13" t="s">
        <v>421</v>
      </c>
      <c r="D173" s="27" t="s">
        <v>64</v>
      </c>
      <c r="E173" s="189"/>
    </row>
    <row r="174" spans="1:5" ht="24" x14ac:dyDescent="0.2">
      <c r="A174" s="190"/>
      <c r="C174" s="72" t="s">
        <v>424</v>
      </c>
      <c r="D174" s="27" t="s">
        <v>64</v>
      </c>
      <c r="E174" s="189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96" t="s">
        <v>433</v>
      </c>
      <c r="B176" s="195" t="s">
        <v>433</v>
      </c>
      <c r="C176" s="111" t="s">
        <v>438</v>
      </c>
      <c r="D176" s="112" t="s">
        <v>60</v>
      </c>
      <c r="E176" s="204" t="s">
        <v>434</v>
      </c>
    </row>
    <row r="177" spans="1:5" ht="15" customHeight="1" x14ac:dyDescent="0.2">
      <c r="A177" s="196"/>
      <c r="B177" s="195"/>
      <c r="C177" s="111" t="s">
        <v>437</v>
      </c>
      <c r="D177" s="112" t="s">
        <v>60</v>
      </c>
      <c r="E177" s="204"/>
    </row>
    <row r="178" spans="1:5" ht="15" customHeight="1" x14ac:dyDescent="0.2">
      <c r="A178" s="196"/>
      <c r="B178" s="195"/>
      <c r="C178" s="111" t="s">
        <v>439</v>
      </c>
      <c r="D178" s="112" t="s">
        <v>60</v>
      </c>
      <c r="E178" s="204"/>
    </row>
    <row r="179" spans="1:5" ht="15" customHeight="1" x14ac:dyDescent="0.2">
      <c r="A179" s="196"/>
      <c r="B179" s="195"/>
      <c r="C179" s="111" t="s">
        <v>440</v>
      </c>
      <c r="D179" s="112" t="s">
        <v>60</v>
      </c>
      <c r="E179" s="204"/>
    </row>
    <row r="180" spans="1:5" ht="15" customHeight="1" x14ac:dyDescent="0.2">
      <c r="A180" s="196"/>
      <c r="B180" s="195"/>
      <c r="C180" s="13" t="s">
        <v>441</v>
      </c>
      <c r="D180" s="27" t="s">
        <v>60</v>
      </c>
      <c r="E180" s="204"/>
    </row>
    <row r="181" spans="1:5" ht="24" x14ac:dyDescent="0.2">
      <c r="A181" s="196"/>
      <c r="B181" s="195"/>
      <c r="C181" s="13" t="s">
        <v>442</v>
      </c>
      <c r="D181" s="27" t="s">
        <v>60</v>
      </c>
      <c r="E181" s="204"/>
    </row>
    <row r="182" spans="1:5" ht="24" x14ac:dyDescent="0.2">
      <c r="A182" s="196"/>
      <c r="B182" s="195"/>
      <c r="C182" s="13" t="s">
        <v>443</v>
      </c>
      <c r="D182" s="27" t="s">
        <v>60</v>
      </c>
      <c r="E182" s="204"/>
    </row>
    <row r="183" spans="1:5" ht="24" x14ac:dyDescent="0.2">
      <c r="A183" s="196"/>
      <c r="B183" s="195"/>
      <c r="C183" s="13" t="s">
        <v>444</v>
      </c>
      <c r="D183" s="27" t="s">
        <v>60</v>
      </c>
      <c r="E183" s="204"/>
    </row>
    <row r="184" spans="1:5" ht="24" x14ac:dyDescent="0.2">
      <c r="A184" s="196"/>
      <c r="B184" s="195"/>
      <c r="C184" s="13" t="s">
        <v>445</v>
      </c>
      <c r="D184" s="27" t="s">
        <v>60</v>
      </c>
      <c r="E184" s="204"/>
    </row>
    <row r="185" spans="1:5" ht="15" customHeight="1" x14ac:dyDescent="0.2">
      <c r="A185" s="196"/>
      <c r="B185" s="195"/>
      <c r="C185" s="111" t="s">
        <v>446</v>
      </c>
      <c r="D185" s="27" t="s">
        <v>60</v>
      </c>
      <c r="E185" s="204"/>
    </row>
    <row r="186" spans="1:5" ht="15" customHeight="1" x14ac:dyDescent="0.2">
      <c r="A186" s="196"/>
      <c r="B186" s="195"/>
      <c r="C186" s="111" t="s">
        <v>447</v>
      </c>
      <c r="D186" s="27" t="s">
        <v>60</v>
      </c>
      <c r="E186" s="204"/>
    </row>
    <row r="187" spans="1:5" ht="36" x14ac:dyDescent="0.2">
      <c r="A187" s="190" t="s">
        <v>448</v>
      </c>
      <c r="B187" s="188" t="s">
        <v>452</v>
      </c>
      <c r="C187" s="13" t="s">
        <v>455</v>
      </c>
      <c r="D187" s="27" t="s">
        <v>60</v>
      </c>
      <c r="E187" s="189" t="s">
        <v>449</v>
      </c>
    </row>
    <row r="188" spans="1:5" ht="24" x14ac:dyDescent="0.2">
      <c r="A188" s="190"/>
      <c r="B188" s="188"/>
      <c r="C188" s="13" t="s">
        <v>454</v>
      </c>
      <c r="D188" s="27" t="s">
        <v>60</v>
      </c>
      <c r="E188" s="189"/>
    </row>
    <row r="189" spans="1:5" ht="15" customHeight="1" x14ac:dyDescent="0.2">
      <c r="A189" s="190"/>
      <c r="B189" s="188" t="s">
        <v>452</v>
      </c>
      <c r="C189" s="13" t="s">
        <v>453</v>
      </c>
      <c r="D189" s="27" t="s">
        <v>60</v>
      </c>
      <c r="E189" s="189"/>
    </row>
    <row r="190" spans="1:5" ht="24" x14ac:dyDescent="0.2">
      <c r="A190" s="190"/>
      <c r="B190" s="188"/>
      <c r="C190" s="13" t="s">
        <v>456</v>
      </c>
      <c r="D190" s="27" t="s">
        <v>60</v>
      </c>
      <c r="E190" s="189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64" priority="21" operator="equal">
      <formula>"Fixing"</formula>
    </cfRule>
    <cfRule type="cellIs" dxfId="63" priority="22" operator="equal">
      <formula>"Working"</formula>
    </cfRule>
    <cfRule type="cellIs" dxfId="62" priority="23" operator="equal">
      <formula>"Not started"</formula>
    </cfRule>
    <cfRule type="cellIs" dxfId="61" priority="24" operator="equal">
      <formula>"Completed"</formula>
    </cfRule>
    <cfRule type="cellIs" dxfId="60" priority="25" operator="equal">
      <formula>"Completed"</formula>
    </cfRule>
  </conditionalFormatting>
  <conditionalFormatting sqref="D26:D29">
    <cfRule type="cellIs" dxfId="59" priority="16" operator="equal">
      <formula>"Fixing"</formula>
    </cfRule>
  </conditionalFormatting>
  <conditionalFormatting sqref="D26:D29">
    <cfRule type="cellIs" dxfId="58" priority="17" operator="equal">
      <formula>"Working"</formula>
    </cfRule>
  </conditionalFormatting>
  <conditionalFormatting sqref="D26:D29">
    <cfRule type="cellIs" dxfId="57" priority="18" operator="equal">
      <formula>"Not started"</formula>
    </cfRule>
  </conditionalFormatting>
  <conditionalFormatting sqref="D26:D29">
    <cfRule type="cellIs" dxfId="56" priority="19" operator="equal">
      <formula>"Completed"</formula>
    </cfRule>
  </conditionalFormatting>
  <conditionalFormatting sqref="D26:D29">
    <cfRule type="cellIs" dxfId="55" priority="20" operator="equal">
      <formula>"Completed"</formula>
    </cfRule>
  </conditionalFormatting>
  <conditionalFormatting sqref="D32:D34">
    <cfRule type="cellIs" dxfId="54" priority="11" operator="equal">
      <formula>"Fixing"</formula>
    </cfRule>
  </conditionalFormatting>
  <conditionalFormatting sqref="D32:D34">
    <cfRule type="cellIs" dxfId="53" priority="12" operator="equal">
      <formula>"Working"</formula>
    </cfRule>
  </conditionalFormatting>
  <conditionalFormatting sqref="D32:D34">
    <cfRule type="cellIs" dxfId="52" priority="13" operator="equal">
      <formula>"Not started"</formula>
    </cfRule>
  </conditionalFormatting>
  <conditionalFormatting sqref="D32:D34">
    <cfRule type="cellIs" dxfId="51" priority="14" operator="equal">
      <formula>"Completed"</formula>
    </cfRule>
  </conditionalFormatting>
  <conditionalFormatting sqref="D32:D34">
    <cfRule type="cellIs" dxfId="50" priority="15" operator="equal">
      <formula>"Completed"</formula>
    </cfRule>
  </conditionalFormatting>
  <conditionalFormatting sqref="D35">
    <cfRule type="cellIs" dxfId="49" priority="6" operator="equal">
      <formula>"Fixing"</formula>
    </cfRule>
  </conditionalFormatting>
  <conditionalFormatting sqref="D35">
    <cfRule type="cellIs" dxfId="48" priority="7" operator="equal">
      <formula>"Working"</formula>
    </cfRule>
  </conditionalFormatting>
  <conditionalFormatting sqref="D35">
    <cfRule type="cellIs" dxfId="47" priority="8" operator="equal">
      <formula>"Not started"</formula>
    </cfRule>
  </conditionalFormatting>
  <conditionalFormatting sqref="D35">
    <cfRule type="cellIs" dxfId="46" priority="9" operator="equal">
      <formula>"Completed"</formula>
    </cfRule>
  </conditionalFormatting>
  <conditionalFormatting sqref="D35">
    <cfRule type="cellIs" dxfId="45" priority="10" operator="equal">
      <formula>"Completed"</formula>
    </cfRule>
  </conditionalFormatting>
  <conditionalFormatting sqref="D36">
    <cfRule type="cellIs" dxfId="44" priority="1" operator="equal">
      <formula>"Fixing"</formula>
    </cfRule>
  </conditionalFormatting>
  <conditionalFormatting sqref="D36">
    <cfRule type="cellIs" dxfId="43" priority="2" operator="equal">
      <formula>"Working"</formula>
    </cfRule>
  </conditionalFormatting>
  <conditionalFormatting sqref="D36">
    <cfRule type="cellIs" dxfId="42" priority="3" operator="equal">
      <formula>"Not started"</formula>
    </cfRule>
  </conditionalFormatting>
  <conditionalFormatting sqref="D36">
    <cfRule type="cellIs" dxfId="41" priority="4" operator="equal">
      <formula>"Completed"</formula>
    </cfRule>
  </conditionalFormatting>
  <conditionalFormatting sqref="D36">
    <cfRule type="cellIs" dxfId="4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1"/>
  <sheetViews>
    <sheetView tabSelected="1" workbookViewId="0">
      <pane ySplit="1" topLeftCell="A149" activePane="bottomLeft" state="frozen"/>
      <selection pane="bottomLeft" activeCell="G161" sqref="G161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12" t="s">
        <v>554</v>
      </c>
      <c r="F2" s="153" t="s">
        <v>554</v>
      </c>
      <c r="H2" s="210" t="s">
        <v>482</v>
      </c>
      <c r="I2" s="211"/>
    </row>
    <row r="3" spans="1:9" x14ac:dyDescent="0.25">
      <c r="A3" s="140" t="s">
        <v>473</v>
      </c>
      <c r="B3" s="158" t="s">
        <v>607</v>
      </c>
      <c r="C3" s="119" t="s">
        <v>40</v>
      </c>
      <c r="E3" s="212"/>
      <c r="H3" s="211"/>
      <c r="I3" s="211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12"/>
      <c r="F4" s="217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12"/>
      <c r="F5" s="217"/>
    </row>
    <row r="6" spans="1:9" x14ac:dyDescent="0.25">
      <c r="A6" s="140" t="s">
        <v>476</v>
      </c>
      <c r="B6" s="158" t="s">
        <v>607</v>
      </c>
      <c r="C6" s="119" t="s">
        <v>40</v>
      </c>
      <c r="E6" s="212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12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12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12"/>
      <c r="F9" s="217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12"/>
      <c r="F10" s="217"/>
    </row>
    <row r="11" spans="1:9" x14ac:dyDescent="0.25">
      <c r="A11" s="140" t="s">
        <v>483</v>
      </c>
      <c r="B11" s="158" t="s">
        <v>607</v>
      </c>
      <c r="C11" s="119" t="s">
        <v>40</v>
      </c>
      <c r="E11" s="212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12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12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12"/>
    </row>
    <row r="15" spans="1:9" x14ac:dyDescent="0.25">
      <c r="A15" s="140" t="s">
        <v>487</v>
      </c>
      <c r="B15" s="158" t="s">
        <v>607</v>
      </c>
      <c r="C15" s="119" t="s">
        <v>40</v>
      </c>
      <c r="E15" s="212"/>
    </row>
    <row r="16" spans="1:9" x14ac:dyDescent="0.25">
      <c r="A16" s="140" t="s">
        <v>488</v>
      </c>
      <c r="B16" s="158" t="s">
        <v>607</v>
      </c>
      <c r="C16" s="119" t="s">
        <v>40</v>
      </c>
      <c r="E16" s="212"/>
    </row>
    <row r="17" spans="1:6" x14ac:dyDescent="0.25">
      <c r="A17" s="140" t="s">
        <v>489</v>
      </c>
      <c r="B17" s="158" t="s">
        <v>607</v>
      </c>
      <c r="C17" s="119" t="s">
        <v>40</v>
      </c>
      <c r="E17" s="212"/>
    </row>
    <row r="18" spans="1:6" x14ac:dyDescent="0.25">
      <c r="A18" s="140" t="s">
        <v>490</v>
      </c>
      <c r="B18" s="158" t="s">
        <v>607</v>
      </c>
      <c r="C18" s="119" t="s">
        <v>40</v>
      </c>
      <c r="E18" s="212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12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12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12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12"/>
    </row>
    <row r="23" spans="1:6" x14ac:dyDescent="0.25">
      <c r="A23" s="140" t="s">
        <v>495</v>
      </c>
      <c r="B23" s="158" t="s">
        <v>607</v>
      </c>
      <c r="C23" s="119" t="s">
        <v>40</v>
      </c>
      <c r="E23" s="212"/>
    </row>
    <row r="24" spans="1:6" x14ac:dyDescent="0.25">
      <c r="A24" s="140" t="s">
        <v>496</v>
      </c>
      <c r="B24" s="158" t="s">
        <v>607</v>
      </c>
      <c r="C24" s="119" t="s">
        <v>40</v>
      </c>
      <c r="E24" s="212"/>
    </row>
    <row r="25" spans="1:6" x14ac:dyDescent="0.25">
      <c r="A25" s="140" t="s">
        <v>497</v>
      </c>
      <c r="B25" s="158" t="s">
        <v>607</v>
      </c>
      <c r="C25" s="119" t="s">
        <v>40</v>
      </c>
      <c r="E25" s="212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12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12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12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12"/>
    </row>
    <row r="30" spans="1:6" x14ac:dyDescent="0.25">
      <c r="A30" s="140" t="s">
        <v>503</v>
      </c>
      <c r="B30" s="158" t="s">
        <v>607</v>
      </c>
      <c r="C30" s="119" t="s">
        <v>40</v>
      </c>
      <c r="E30" s="212"/>
    </row>
    <row r="31" spans="1:6" x14ac:dyDescent="0.25">
      <c r="A31" s="140" t="s">
        <v>504</v>
      </c>
      <c r="B31" s="158" t="s">
        <v>607</v>
      </c>
      <c r="C31" s="119" t="s">
        <v>40</v>
      </c>
      <c r="E31" s="212"/>
    </row>
    <row r="32" spans="1:6" x14ac:dyDescent="0.25">
      <c r="A32" s="140" t="s">
        <v>505</v>
      </c>
      <c r="B32" s="158" t="s">
        <v>607</v>
      </c>
      <c r="C32" s="119" t="s">
        <v>40</v>
      </c>
      <c r="E32" s="212"/>
    </row>
    <row r="33" spans="1:5" x14ac:dyDescent="0.25">
      <c r="A33" s="140" t="s">
        <v>506</v>
      </c>
      <c r="B33" s="158" t="s">
        <v>607</v>
      </c>
      <c r="C33" s="119" t="s">
        <v>40</v>
      </c>
      <c r="E33" s="212"/>
    </row>
    <row r="34" spans="1:5" x14ac:dyDescent="0.25">
      <c r="A34" s="140" t="s">
        <v>507</v>
      </c>
      <c r="B34" s="158" t="s">
        <v>607</v>
      </c>
      <c r="C34" s="119" t="s">
        <v>40</v>
      </c>
      <c r="E34" s="212"/>
    </row>
    <row r="35" spans="1:5" x14ac:dyDescent="0.25">
      <c r="A35" s="140" t="s">
        <v>508</v>
      </c>
      <c r="B35" s="158" t="s">
        <v>607</v>
      </c>
      <c r="C35" s="119" t="s">
        <v>40</v>
      </c>
      <c r="E35" s="212"/>
    </row>
    <row r="36" spans="1:5" x14ac:dyDescent="0.25">
      <c r="A36" s="140" t="s">
        <v>509</v>
      </c>
      <c r="B36" s="158" t="s">
        <v>607</v>
      </c>
      <c r="C36" s="119" t="s">
        <v>40</v>
      </c>
      <c r="E36" s="212"/>
    </row>
    <row r="37" spans="1:5" x14ac:dyDescent="0.25">
      <c r="A37" s="140" t="s">
        <v>510</v>
      </c>
      <c r="B37" s="158" t="s">
        <v>607</v>
      </c>
      <c r="C37" s="119" t="s">
        <v>40</v>
      </c>
      <c r="E37" s="212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12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12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12"/>
    </row>
    <row r="41" spans="1:5" x14ac:dyDescent="0.25">
      <c r="A41" s="140" t="s">
        <v>537</v>
      </c>
      <c r="B41" s="158" t="s">
        <v>607</v>
      </c>
      <c r="C41" s="143" t="s">
        <v>40</v>
      </c>
      <c r="E41" s="212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12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12"/>
    </row>
    <row r="44" spans="1:5" x14ac:dyDescent="0.25">
      <c r="A44" s="140" t="s">
        <v>540</v>
      </c>
      <c r="B44" s="158" t="s">
        <v>607</v>
      </c>
      <c r="C44" s="143" t="s">
        <v>40</v>
      </c>
      <c r="E44" s="212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12"/>
    </row>
    <row r="46" spans="1:5" x14ac:dyDescent="0.25">
      <c r="A46" s="140" t="s">
        <v>534</v>
      </c>
      <c r="B46" s="158" t="s">
        <v>607</v>
      </c>
      <c r="C46" s="143" t="s">
        <v>40</v>
      </c>
      <c r="E46" s="212"/>
    </row>
    <row r="47" spans="1:5" x14ac:dyDescent="0.25">
      <c r="A47" s="140" t="s">
        <v>512</v>
      </c>
      <c r="B47" s="158" t="s">
        <v>607</v>
      </c>
      <c r="C47" s="119" t="s">
        <v>40</v>
      </c>
      <c r="E47" s="212"/>
    </row>
    <row r="48" spans="1:5" x14ac:dyDescent="0.25">
      <c r="A48" s="140" t="s">
        <v>513</v>
      </c>
      <c r="B48" s="158" t="s">
        <v>607</v>
      </c>
      <c r="C48" s="119" t="s">
        <v>40</v>
      </c>
      <c r="E48" s="212"/>
    </row>
    <row r="49" spans="1:6" x14ac:dyDescent="0.25">
      <c r="A49" s="140" t="s">
        <v>518</v>
      </c>
      <c r="B49" s="158" t="s">
        <v>607</v>
      </c>
      <c r="C49" s="119" t="s">
        <v>40</v>
      </c>
      <c r="E49" s="212"/>
    </row>
    <row r="50" spans="1:6" x14ac:dyDescent="0.25">
      <c r="A50" s="140" t="s">
        <v>519</v>
      </c>
      <c r="B50" s="158" t="s">
        <v>607</v>
      </c>
      <c r="C50" s="119" t="s">
        <v>40</v>
      </c>
      <c r="E50" s="212"/>
    </row>
    <row r="51" spans="1:6" x14ac:dyDescent="0.25">
      <c r="A51" s="140" t="s">
        <v>525</v>
      </c>
      <c r="B51" s="158" t="s">
        <v>607</v>
      </c>
      <c r="C51" s="119" t="s">
        <v>40</v>
      </c>
      <c r="E51" s="212"/>
    </row>
    <row r="52" spans="1:6" x14ac:dyDescent="0.25">
      <c r="A52" s="140" t="s">
        <v>517</v>
      </c>
      <c r="B52" s="158" t="s">
        <v>607</v>
      </c>
      <c r="C52" s="119" t="s">
        <v>40</v>
      </c>
      <c r="E52" s="212"/>
    </row>
    <row r="53" spans="1:6" x14ac:dyDescent="0.25">
      <c r="A53" s="140" t="s">
        <v>521</v>
      </c>
      <c r="B53" s="158" t="s">
        <v>607</v>
      </c>
      <c r="C53" s="142" t="s">
        <v>40</v>
      </c>
      <c r="E53" s="212"/>
    </row>
    <row r="54" spans="1:6" x14ac:dyDescent="0.25">
      <c r="A54" s="140" t="s">
        <v>516</v>
      </c>
      <c r="B54" s="158" t="s">
        <v>607</v>
      </c>
      <c r="C54" s="119" t="s">
        <v>40</v>
      </c>
      <c r="E54" s="212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12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12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12"/>
    </row>
    <row r="58" spans="1:6" x14ac:dyDescent="0.25">
      <c r="A58" s="140" t="s">
        <v>523</v>
      </c>
      <c r="B58" s="119" t="s">
        <v>605</v>
      </c>
      <c r="C58" s="119" t="s">
        <v>40</v>
      </c>
      <c r="E58" s="212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12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12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4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15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12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12"/>
    </row>
    <row r="69" spans="1:6" x14ac:dyDescent="0.25">
      <c r="A69" s="140" t="s">
        <v>542</v>
      </c>
      <c r="B69" s="144" t="s">
        <v>606</v>
      </c>
      <c r="C69" s="119" t="s">
        <v>40</v>
      </c>
      <c r="E69" s="212"/>
    </row>
    <row r="70" spans="1:6" x14ac:dyDescent="0.25">
      <c r="A70" s="140" t="s">
        <v>543</v>
      </c>
      <c r="B70" s="158" t="s">
        <v>606</v>
      </c>
      <c r="C70" s="119" t="s">
        <v>40</v>
      </c>
      <c r="E70" s="212"/>
    </row>
    <row r="71" spans="1:6" x14ac:dyDescent="0.25">
      <c r="A71" s="140" t="s">
        <v>544</v>
      </c>
      <c r="B71" s="158" t="s">
        <v>606</v>
      </c>
      <c r="C71" s="119" t="s">
        <v>40</v>
      </c>
      <c r="E71" s="212"/>
    </row>
    <row r="72" spans="1:6" x14ac:dyDescent="0.25">
      <c r="A72" s="140" t="s">
        <v>545</v>
      </c>
      <c r="B72" s="158" t="s">
        <v>606</v>
      </c>
      <c r="C72" s="119" t="s">
        <v>40</v>
      </c>
      <c r="E72" s="212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12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12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12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12"/>
    </row>
    <row r="77" spans="1:6" x14ac:dyDescent="0.25">
      <c r="A77" s="140" t="s">
        <v>550</v>
      </c>
      <c r="B77" s="158" t="s">
        <v>606</v>
      </c>
      <c r="C77" s="119" t="s">
        <v>40</v>
      </c>
      <c r="E77" s="212"/>
    </row>
    <row r="78" spans="1:6" x14ac:dyDescent="0.25">
      <c r="A78" s="140" t="s">
        <v>551</v>
      </c>
      <c r="B78" s="158" t="s">
        <v>606</v>
      </c>
      <c r="C78" s="119" t="s">
        <v>40</v>
      </c>
      <c r="E78" s="212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12"/>
      <c r="F79" s="213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05">
        <v>42380</v>
      </c>
      <c r="F80" s="213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06" t="s">
        <v>568</v>
      </c>
      <c r="E81" s="205"/>
      <c r="F81" s="213"/>
    </row>
    <row r="82" spans="1:6" x14ac:dyDescent="0.25">
      <c r="A82" s="140" t="s">
        <v>567</v>
      </c>
      <c r="B82" s="158" t="s">
        <v>606</v>
      </c>
      <c r="C82" s="148" t="s">
        <v>471</v>
      </c>
      <c r="D82" s="206"/>
      <c r="E82" s="205"/>
      <c r="F82" s="213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05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05"/>
    </row>
    <row r="85" spans="1:6" x14ac:dyDescent="0.25">
      <c r="A85" s="140" t="s">
        <v>571</v>
      </c>
      <c r="B85" s="150" t="s">
        <v>605</v>
      </c>
      <c r="C85" s="148" t="s">
        <v>40</v>
      </c>
      <c r="E85" s="205"/>
    </row>
    <row r="86" spans="1:6" x14ac:dyDescent="0.25">
      <c r="A86" s="140" t="s">
        <v>572</v>
      </c>
      <c r="B86" s="150" t="s">
        <v>605</v>
      </c>
      <c r="C86" s="148" t="s">
        <v>40</v>
      </c>
      <c r="E86" s="205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07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08"/>
    </row>
    <row r="89" spans="1:6" x14ac:dyDescent="0.25">
      <c r="A89" s="140" t="s">
        <v>561</v>
      </c>
      <c r="B89" s="150" t="s">
        <v>606</v>
      </c>
      <c r="C89" s="148" t="s">
        <v>40</v>
      </c>
      <c r="E89" s="205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05"/>
    </row>
    <row r="91" spans="1:6" x14ac:dyDescent="0.25">
      <c r="A91" s="140" t="s">
        <v>573</v>
      </c>
      <c r="B91" s="158" t="s">
        <v>606</v>
      </c>
      <c r="C91" s="119" t="s">
        <v>40</v>
      </c>
      <c r="E91" s="205"/>
    </row>
    <row r="92" spans="1:6" x14ac:dyDescent="0.25">
      <c r="A92" s="140" t="s">
        <v>581</v>
      </c>
      <c r="B92" s="158" t="s">
        <v>605</v>
      </c>
      <c r="C92" s="148" t="s">
        <v>40</v>
      </c>
      <c r="E92" s="205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05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05"/>
    </row>
    <row r="95" spans="1:6" x14ac:dyDescent="0.25">
      <c r="A95" s="140" t="s">
        <v>582</v>
      </c>
      <c r="B95" s="158" t="s">
        <v>605</v>
      </c>
      <c r="C95" s="148" t="s">
        <v>40</v>
      </c>
      <c r="E95" s="205"/>
    </row>
    <row r="96" spans="1:6" x14ac:dyDescent="0.25">
      <c r="A96" s="140" t="s">
        <v>575</v>
      </c>
      <c r="B96" s="158" t="s">
        <v>606</v>
      </c>
      <c r="C96" s="119" t="s">
        <v>40</v>
      </c>
      <c r="E96" s="205"/>
    </row>
    <row r="97" spans="1:6" x14ac:dyDescent="0.25">
      <c r="A97" s="140" t="s">
        <v>583</v>
      </c>
      <c r="B97" s="158" t="s">
        <v>605</v>
      </c>
      <c r="C97" s="148" t="s">
        <v>40</v>
      </c>
      <c r="E97" s="205"/>
    </row>
    <row r="98" spans="1:6" x14ac:dyDescent="0.25">
      <c r="A98" s="140" t="s">
        <v>576</v>
      </c>
      <c r="B98" s="158" t="s">
        <v>606</v>
      </c>
      <c r="C98" s="148" t="s">
        <v>40</v>
      </c>
      <c r="E98" s="205"/>
    </row>
    <row r="99" spans="1:6" x14ac:dyDescent="0.25">
      <c r="A99" s="140" t="s">
        <v>584</v>
      </c>
      <c r="B99" s="158" t="s">
        <v>605</v>
      </c>
      <c r="C99" s="148" t="s">
        <v>40</v>
      </c>
      <c r="E99" s="205"/>
    </row>
    <row r="100" spans="1:6" x14ac:dyDescent="0.25">
      <c r="A100" s="140" t="s">
        <v>577</v>
      </c>
      <c r="B100" s="158" t="s">
        <v>606</v>
      </c>
      <c r="C100" s="119" t="s">
        <v>40</v>
      </c>
      <c r="E100" s="205"/>
    </row>
    <row r="101" spans="1:6" x14ac:dyDescent="0.25">
      <c r="A101" s="140" t="s">
        <v>585</v>
      </c>
      <c r="B101" s="158" t="s">
        <v>605</v>
      </c>
      <c r="C101" s="119" t="s">
        <v>40</v>
      </c>
      <c r="E101" s="205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05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05"/>
    </row>
    <row r="104" spans="1:6" x14ac:dyDescent="0.25">
      <c r="A104" s="140" t="s">
        <v>590</v>
      </c>
      <c r="B104" s="158" t="s">
        <v>605</v>
      </c>
      <c r="C104" s="148" t="s">
        <v>40</v>
      </c>
      <c r="E104" s="205"/>
    </row>
    <row r="105" spans="1:6" x14ac:dyDescent="0.25">
      <c r="A105" s="140" t="s">
        <v>587</v>
      </c>
      <c r="B105" s="158" t="s">
        <v>606</v>
      </c>
      <c r="C105" s="148" t="s">
        <v>40</v>
      </c>
      <c r="E105" s="205"/>
    </row>
    <row r="106" spans="1:6" x14ac:dyDescent="0.25">
      <c r="A106" s="140" t="s">
        <v>589</v>
      </c>
      <c r="B106" s="158" t="s">
        <v>605</v>
      </c>
      <c r="C106" s="148" t="s">
        <v>40</v>
      </c>
      <c r="E106" s="205"/>
    </row>
    <row r="107" spans="1:6" x14ac:dyDescent="0.25">
      <c r="A107" s="140" t="s">
        <v>588</v>
      </c>
      <c r="B107" s="158" t="s">
        <v>606</v>
      </c>
      <c r="C107" s="119" t="s">
        <v>40</v>
      </c>
      <c r="E107" s="205"/>
    </row>
    <row r="108" spans="1:6" x14ac:dyDescent="0.25">
      <c r="A108" s="140" t="s">
        <v>591</v>
      </c>
      <c r="B108" s="158" t="s">
        <v>605</v>
      </c>
      <c r="C108" s="119" t="s">
        <v>40</v>
      </c>
      <c r="E108" s="205"/>
    </row>
    <row r="109" spans="1:6" x14ac:dyDescent="0.25">
      <c r="A109" s="140" t="s">
        <v>593</v>
      </c>
      <c r="B109" s="158" t="s">
        <v>606</v>
      </c>
      <c r="C109" s="148" t="s">
        <v>40</v>
      </c>
      <c r="E109" s="205"/>
    </row>
    <row r="110" spans="1:6" x14ac:dyDescent="0.25">
      <c r="A110" s="140" t="s">
        <v>594</v>
      </c>
      <c r="B110" s="158" t="s">
        <v>605</v>
      </c>
      <c r="C110" s="119" t="s">
        <v>40</v>
      </c>
      <c r="E110" s="205"/>
    </row>
    <row r="111" spans="1:6" x14ac:dyDescent="0.25">
      <c r="A111" s="140" t="s">
        <v>595</v>
      </c>
      <c r="B111" s="158" t="s">
        <v>606</v>
      </c>
      <c r="C111" s="119" t="s">
        <v>40</v>
      </c>
      <c r="E111" s="205"/>
    </row>
    <row r="112" spans="1:6" x14ac:dyDescent="0.25">
      <c r="A112" s="140" t="s">
        <v>596</v>
      </c>
      <c r="B112" s="158" t="s">
        <v>605</v>
      </c>
      <c r="C112" s="119" t="s">
        <v>40</v>
      </c>
      <c r="E112" s="205"/>
    </row>
    <row r="113" spans="1:6" x14ac:dyDescent="0.25">
      <c r="A113" s="140" t="s">
        <v>597</v>
      </c>
      <c r="B113" s="158" t="s">
        <v>606</v>
      </c>
      <c r="C113" s="119" t="s">
        <v>40</v>
      </c>
      <c r="E113" s="205"/>
    </row>
    <row r="114" spans="1:6" x14ac:dyDescent="0.25">
      <c r="A114" s="140" t="s">
        <v>598</v>
      </c>
      <c r="B114" s="158" t="s">
        <v>605</v>
      </c>
      <c r="C114" s="119" t="s">
        <v>40</v>
      </c>
      <c r="E114" s="205"/>
    </row>
    <row r="115" spans="1:6" x14ac:dyDescent="0.25">
      <c r="A115" s="140" t="s">
        <v>599</v>
      </c>
      <c r="B115" s="158" t="s">
        <v>605</v>
      </c>
      <c r="C115" s="119" t="s">
        <v>471</v>
      </c>
      <c r="D115" s="206" t="s">
        <v>625</v>
      </c>
      <c r="E115" s="209"/>
      <c r="F115" s="213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06"/>
      <c r="E116" s="209"/>
      <c r="F116" s="213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09"/>
      <c r="F117" s="213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09"/>
      <c r="F118" s="213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05">
        <v>42411</v>
      </c>
      <c r="F119" s="216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05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05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05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05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05"/>
    </row>
    <row r="125" spans="1:6" x14ac:dyDescent="0.25">
      <c r="A125" s="140" t="s">
        <v>636</v>
      </c>
      <c r="B125" s="158" t="s">
        <v>606</v>
      </c>
      <c r="C125" s="119" t="s">
        <v>40</v>
      </c>
      <c r="E125" s="205"/>
    </row>
    <row r="126" spans="1:6" x14ac:dyDescent="0.25">
      <c r="A126" s="140" t="s">
        <v>637</v>
      </c>
      <c r="B126" s="119" t="s">
        <v>605</v>
      </c>
      <c r="C126" s="158" t="s">
        <v>40</v>
      </c>
      <c r="E126" s="205"/>
    </row>
    <row r="127" spans="1:6" x14ac:dyDescent="0.25">
      <c r="A127" s="140" t="s">
        <v>638</v>
      </c>
      <c r="B127" s="158" t="s">
        <v>606</v>
      </c>
      <c r="C127" s="119" t="s">
        <v>40</v>
      </c>
      <c r="E127" s="205"/>
    </row>
    <row r="128" spans="1:6" x14ac:dyDescent="0.25">
      <c r="A128" s="140" t="s">
        <v>639</v>
      </c>
      <c r="B128" s="158" t="s">
        <v>605</v>
      </c>
      <c r="C128" s="119" t="s">
        <v>40</v>
      </c>
      <c r="E128" s="205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06" t="s">
        <v>668</v>
      </c>
      <c r="E129" s="205"/>
      <c r="F129" s="213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06"/>
      <c r="E130" s="205"/>
      <c r="F130" s="213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06"/>
      <c r="E131" s="205"/>
      <c r="F131" s="213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06"/>
      <c r="E132" s="205"/>
      <c r="F132" s="213"/>
    </row>
    <row r="133" spans="1:6" x14ac:dyDescent="0.25">
      <c r="A133" s="140" t="s">
        <v>644</v>
      </c>
      <c r="B133" s="158" t="s">
        <v>606</v>
      </c>
      <c r="C133" s="164" t="s">
        <v>471</v>
      </c>
      <c r="D133" s="206"/>
      <c r="E133" s="205"/>
      <c r="F133" s="213"/>
    </row>
    <row r="134" spans="1:6" x14ac:dyDescent="0.25">
      <c r="A134" s="140" t="s">
        <v>645</v>
      </c>
      <c r="B134" s="158" t="s">
        <v>605</v>
      </c>
      <c r="C134" s="158" t="s">
        <v>40</v>
      </c>
      <c r="E134" s="205"/>
    </row>
    <row r="135" spans="1:6" x14ac:dyDescent="0.25">
      <c r="A135" s="140" t="s">
        <v>646</v>
      </c>
      <c r="B135" s="158" t="s">
        <v>606</v>
      </c>
      <c r="C135" s="158" t="s">
        <v>40</v>
      </c>
      <c r="E135" s="205"/>
    </row>
    <row r="136" spans="1:6" x14ac:dyDescent="0.25">
      <c r="A136" s="140" t="s">
        <v>650</v>
      </c>
      <c r="B136" s="158" t="s">
        <v>605</v>
      </c>
      <c r="C136" s="158" t="s">
        <v>471</v>
      </c>
      <c r="D136" s="206" t="s">
        <v>652</v>
      </c>
      <c r="E136" s="205"/>
      <c r="F136" s="213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06"/>
      <c r="E137" s="205"/>
      <c r="F137" s="213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05"/>
    </row>
    <row r="139" spans="1:6" x14ac:dyDescent="0.25">
      <c r="A139" s="140" t="s">
        <v>647</v>
      </c>
      <c r="B139" s="158" t="s">
        <v>605</v>
      </c>
      <c r="C139" s="119" t="s">
        <v>40</v>
      </c>
      <c r="E139" s="205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05"/>
    </row>
    <row r="141" spans="1:6" x14ac:dyDescent="0.25">
      <c r="A141" s="140" t="s">
        <v>654</v>
      </c>
      <c r="B141" s="119" t="s">
        <v>606</v>
      </c>
      <c r="C141" s="119" t="s">
        <v>64</v>
      </c>
      <c r="E141" s="205"/>
    </row>
    <row r="142" spans="1:6" x14ac:dyDescent="0.25">
      <c r="A142" s="140" t="s">
        <v>655</v>
      </c>
      <c r="B142" s="119" t="s">
        <v>605</v>
      </c>
      <c r="C142" s="158" t="s">
        <v>64</v>
      </c>
      <c r="E142" s="205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05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05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05"/>
      <c r="F145" s="218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05"/>
      <c r="F146" s="219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05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05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05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05"/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05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05"/>
    </row>
    <row r="153" spans="1:6" ht="30" x14ac:dyDescent="0.25">
      <c r="A153" s="140" t="s">
        <v>680</v>
      </c>
      <c r="B153" s="119" t="s">
        <v>607</v>
      </c>
      <c r="C153" s="119" t="s">
        <v>470</v>
      </c>
      <c r="D153" s="149" t="s">
        <v>679</v>
      </c>
      <c r="E153" s="220">
        <v>42501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21"/>
    </row>
    <row r="155" spans="1:6" x14ac:dyDescent="0.25">
      <c r="A155" s="140" t="s">
        <v>681</v>
      </c>
      <c r="B155" s="172" t="s">
        <v>606</v>
      </c>
      <c r="C155" s="172" t="s">
        <v>40</v>
      </c>
      <c r="E155" s="221"/>
    </row>
    <row r="156" spans="1:6" x14ac:dyDescent="0.25">
      <c r="A156" s="140" t="s">
        <v>683</v>
      </c>
      <c r="B156" s="172" t="s">
        <v>606</v>
      </c>
      <c r="C156" s="172" t="s">
        <v>40</v>
      </c>
      <c r="E156" s="221"/>
    </row>
    <row r="157" spans="1:6" x14ac:dyDescent="0.25">
      <c r="A157" s="140" t="s">
        <v>685</v>
      </c>
      <c r="B157" s="172" t="s">
        <v>606</v>
      </c>
      <c r="C157" s="119" t="s">
        <v>40</v>
      </c>
      <c r="E157" s="221"/>
    </row>
    <row r="158" spans="1:6" x14ac:dyDescent="0.25">
      <c r="A158" s="140" t="s">
        <v>686</v>
      </c>
      <c r="B158" s="172" t="s">
        <v>606</v>
      </c>
      <c r="C158" s="172" t="s">
        <v>40</v>
      </c>
      <c r="E158" s="221"/>
    </row>
    <row r="159" spans="1:6" x14ac:dyDescent="0.25">
      <c r="A159" s="140" t="s">
        <v>684</v>
      </c>
      <c r="B159" s="172" t="s">
        <v>606</v>
      </c>
      <c r="C159" s="172" t="s">
        <v>40</v>
      </c>
      <c r="E159" s="221"/>
    </row>
    <row r="160" spans="1:6" x14ac:dyDescent="0.25">
      <c r="A160" s="140" t="s">
        <v>687</v>
      </c>
      <c r="B160" s="172" t="s">
        <v>606</v>
      </c>
      <c r="C160" s="172" t="s">
        <v>40</v>
      </c>
      <c r="E160" s="221"/>
    </row>
    <row r="161" spans="1:5" x14ac:dyDescent="0.25">
      <c r="A161" s="140" t="s">
        <v>688</v>
      </c>
      <c r="B161" s="172" t="s">
        <v>606</v>
      </c>
      <c r="C161" s="172" t="s">
        <v>40</v>
      </c>
      <c r="E161" s="221"/>
    </row>
    <row r="162" spans="1:5" x14ac:dyDescent="0.25">
      <c r="A162" s="140" t="s">
        <v>689</v>
      </c>
      <c r="B162" s="172" t="s">
        <v>606</v>
      </c>
      <c r="C162" s="172" t="s">
        <v>40</v>
      </c>
      <c r="E162" s="221"/>
    </row>
    <row r="163" spans="1:5" x14ac:dyDescent="0.25">
      <c r="A163" s="140" t="s">
        <v>690</v>
      </c>
      <c r="B163" s="172" t="s">
        <v>606</v>
      </c>
      <c r="C163" s="172" t="s">
        <v>40</v>
      </c>
      <c r="E163" s="221"/>
    </row>
    <row r="164" spans="1:5" x14ac:dyDescent="0.25">
      <c r="A164" s="140" t="s">
        <v>691</v>
      </c>
      <c r="B164" s="172" t="s">
        <v>606</v>
      </c>
      <c r="C164" s="172" t="s">
        <v>40</v>
      </c>
      <c r="E164" s="221"/>
    </row>
    <row r="165" spans="1:5" x14ac:dyDescent="0.25">
      <c r="A165" s="140" t="s">
        <v>692</v>
      </c>
      <c r="B165" s="172" t="s">
        <v>606</v>
      </c>
      <c r="C165" s="172" t="s">
        <v>40</v>
      </c>
      <c r="E165" s="221"/>
    </row>
    <row r="166" spans="1:5" x14ac:dyDescent="0.25">
      <c r="A166" s="140" t="s">
        <v>693</v>
      </c>
      <c r="B166" s="172" t="s">
        <v>606</v>
      </c>
      <c r="C166" s="172" t="s">
        <v>40</v>
      </c>
      <c r="E166" s="221"/>
    </row>
    <row r="167" spans="1:5" x14ac:dyDescent="0.25">
      <c r="A167" s="140" t="s">
        <v>694</v>
      </c>
      <c r="B167" s="172" t="s">
        <v>606</v>
      </c>
      <c r="C167" s="172" t="s">
        <v>40</v>
      </c>
      <c r="E167" s="221"/>
    </row>
    <row r="168" spans="1:5" x14ac:dyDescent="0.25">
      <c r="A168" s="140" t="s">
        <v>695</v>
      </c>
      <c r="B168" s="172" t="s">
        <v>606</v>
      </c>
      <c r="C168" s="172" t="s">
        <v>40</v>
      </c>
      <c r="E168" s="221"/>
    </row>
    <row r="169" spans="1:5" x14ac:dyDescent="0.25">
      <c r="A169" s="140" t="s">
        <v>696</v>
      </c>
      <c r="B169" s="172" t="s">
        <v>606</v>
      </c>
      <c r="C169" s="172" t="s">
        <v>40</v>
      </c>
      <c r="E169" s="221"/>
    </row>
    <row r="170" spans="1:5" x14ac:dyDescent="0.25">
      <c r="A170" s="140" t="s">
        <v>697</v>
      </c>
      <c r="B170" s="172" t="s">
        <v>606</v>
      </c>
      <c r="C170" s="172" t="s">
        <v>40</v>
      </c>
      <c r="E170" s="221"/>
    </row>
    <row r="171" spans="1:5" x14ac:dyDescent="0.25">
      <c r="A171" s="140" t="s">
        <v>698</v>
      </c>
      <c r="B171" s="172" t="s">
        <v>606</v>
      </c>
      <c r="C171" s="172" t="s">
        <v>40</v>
      </c>
      <c r="E171" s="221"/>
    </row>
  </sheetData>
  <mergeCells count="23">
    <mergeCell ref="E153:E171"/>
    <mergeCell ref="F115:F119"/>
    <mergeCell ref="E75:E79"/>
    <mergeCell ref="F4:F5"/>
    <mergeCell ref="F9:F10"/>
    <mergeCell ref="E119:E146"/>
    <mergeCell ref="F145:F146"/>
    <mergeCell ref="F129:F133"/>
    <mergeCell ref="F136:F137"/>
    <mergeCell ref="H2:I3"/>
    <mergeCell ref="E2:E60"/>
    <mergeCell ref="E67:E74"/>
    <mergeCell ref="F79:F82"/>
    <mergeCell ref="E65:E66"/>
    <mergeCell ref="E151:E152"/>
    <mergeCell ref="E147:E150"/>
    <mergeCell ref="D129:D133"/>
    <mergeCell ref="D136:D137"/>
    <mergeCell ref="D81:D82"/>
    <mergeCell ref="E80:E86"/>
    <mergeCell ref="E87:E88"/>
    <mergeCell ref="D115:D116"/>
    <mergeCell ref="E89:E118"/>
  </mergeCells>
  <conditionalFormatting sqref="C1:C88 C91:C1048576">
    <cfRule type="cellIs" dxfId="39" priority="29" operator="equal">
      <formula>"Not Started"</formula>
    </cfRule>
    <cfRule type="cellIs" dxfId="38" priority="30" operator="equal">
      <formula>"Fixing"</formula>
    </cfRule>
    <cfRule type="cellIs" dxfId="37" priority="31" operator="equal">
      <formula>"Fixed"</formula>
    </cfRule>
    <cfRule type="cellIs" dxfId="36" priority="32" operator="equal">
      <formula>"Error"</formula>
    </cfRule>
    <cfRule type="cellIs" dxfId="35" priority="33" operator="equal">
      <formula>"Finished"</formula>
    </cfRule>
  </conditionalFormatting>
  <conditionalFormatting sqref="C89:C90">
    <cfRule type="cellIs" dxfId="34" priority="14" operator="equal">
      <formula>"Not Started"</formula>
    </cfRule>
    <cfRule type="cellIs" dxfId="33" priority="15" operator="equal">
      <formula>"Fixing"</formula>
    </cfRule>
    <cfRule type="cellIs" dxfId="32" priority="16" operator="equal">
      <formula>"Fixed"</formula>
    </cfRule>
    <cfRule type="cellIs" dxfId="31" priority="17" operator="equal">
      <formula>"Error"</formula>
    </cfRule>
    <cfRule type="cellIs" dxfId="30" priority="18" operator="equal">
      <formula>"Finished"</formula>
    </cfRule>
  </conditionalFormatting>
  <conditionalFormatting sqref="B1:B1048576">
    <cfRule type="cellIs" dxfId="29" priority="1" operator="equal">
      <formula>"WhiteBox"</formula>
    </cfRule>
    <cfRule type="cellIs" dxfId="28" priority="2" operator="equal">
      <formula>"BlackBox"</formula>
    </cfRule>
    <cfRule type="cellIs" dxfId="27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2016-11-05T15:08:06Z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