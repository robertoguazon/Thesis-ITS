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<sst xmlns="http://schemas.openxmlformats.org/spreadsheetml/2006/main" count="1366" uniqueCount="668">
  <si>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</si>
  <si>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</si>
  <si>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</si>
  <si>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</si>
  <si>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</si>
  <si>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</si>
  <si>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</si>
  <si>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</si>
  <si>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</si>
  <si>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</si>
  <si>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</si>
  <si>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</si>
  <si>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</si>
  <si>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</si>
  <si>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</si>
  <si>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</si>
  <si>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</si>
  <si>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</si>
  <si>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</si>
  <si>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</si>
  <si>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</si>
  <si>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</si>
  <si>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</si>
  <si>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</si>
  <si>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</si>
  <si>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</si>
  <si>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</si>
  <si>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</si>
  <si>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</si>
  <si>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</si>
  <si>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</si>
  <si>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</si>
  <si>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</si>
  <si>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</si>
  <si>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</si>
  <si>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</si>
  <si>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</si>
  <si>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</si>
  <si>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</si>
  <si>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</si>
  <si>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</si>
  <si>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</si>
  <si>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</si>
  <si>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</si>
  <si>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</si>
  <si>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</si>
  <si>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</si>
  <si>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</si>
  <si>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</si>
  <si>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</si>
  <si>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</si>
  <si>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</si>
  <si>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</si>
  <si>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</si>
  <si>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</si>
  <si>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</si>
  <si>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</si>
  <si>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</si>
  <si>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</si>
  <si>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</si>
  <si>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</si>
  <si>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</si>
  <si>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</si>
  <si>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</si>
  <si>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</si>
  <si>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</si>
  <si>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</si>
  <si>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</si>
  <si>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</si>
  <si>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</si>
  <si>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</si>
  <si>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</si>
  <si>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</si>
  <si>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</si>
  <si>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</si>
  <si>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</si>
  <si>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</si>
  <si>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</si>
  <si>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</si>
  <si>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</si>
  <si>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</si>
  <si>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</si>
  <si>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</si>
  <si>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</si>
  <si>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</si>
  <si>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</si>
  <si>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</si>
  <si>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</si>
  <si>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</si>
  <si>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</si>
  <si>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</si>
  <si>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</si>
  <si>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</si>
  <si>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</si>
  <si>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</si>
  <si>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</si>
  <si>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</si>
  <si>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</si>
  <si>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</si>
  <si>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</si>
  <si>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</si>
  <si>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</si>
  <si>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</si>
  <si>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</si>
  <si>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</si>
  <si>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</si>
  <si>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</si>
  <si>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</si>
  <si>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</si>
  <si>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</si>
  <si>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</si>
  <si>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</si>
  <si>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</si>
  <si>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</si>
  <si>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</si>
  <si>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</si>
  <si>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</si>
  <si>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</si>
  <si>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</si>
  <si>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</si>
  <si>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</si>
  <si>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</si>
  <si>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</si>
  <si>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</si>
  <si>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</si>
  <si>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</si>
  <si>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</si>
  <si>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</si>
  <si>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</si>
  <si>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</si>
  <si>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</si>
  <si>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</si>
  <si>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</si>
  <si>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</si>
  <si>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</si>
  <si>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</si>
  <si>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</si>
  <si>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</si>
  <si>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</si>
  <si>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</si>
  <si>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</si>
  <si>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</si>
  <si>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</si>
  <si>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</si>
  <si>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</si>
  <si>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</si>
  <si>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</si>
  <si>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</si>
  <si>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</si>
  <si>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</si>
  <si>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</si>
  <si>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</si>
  <si>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</si>
  <si>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</si>
  <si>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</si>
  <si>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</si>
  <si>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</si>
  <si>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</si>
  <si>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</si>
  <si>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</si>
  <si>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</si>
  <si>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</si>
  <si>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</si>
  <si>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</si>
  <si>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</si>
  <si>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</si>
  <si>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</si>
  <si>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</si>
  <si>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</si>
  <si>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</si>
  <si>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</si>
  <si>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</si>
  <si>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</si>
  <si>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</si>
  <si>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</si>
  <si>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</si>
  <si>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</si>
  <si>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</si>
  <si>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</si>
  <si>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</si>
  <si>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</si>
  <si>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</si>
  <si>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</si>
  <si>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</si>
  <si>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</si>
  <si>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</si>
  <si>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</si>
  <si>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</si>
  <si>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</si>
  <si>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</si>
  <si>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</si>
  <si>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</si>
  <si>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</si>
  <si>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</si>
  <si>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</si>
  <si>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</si>
  <si>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</si>
  <si>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</si>
  <si>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</si>
  <si>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</si>
  <si>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</si>
  <si>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</si>
  <si>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</si>
  <si>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</si>
  <si>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</si>
  <si>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</si>
  <si>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</si>
  <si>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</si>
  <si>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</si>
  <si>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</si>
  <si>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</si>
  <si>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</si>
  <si>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</si>
  <si>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</si>
  <si>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</si>
  <si>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</si>
  <si>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</si>
  <si>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</si>
  <si>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</si>
  <si>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</si>
  <si>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</si>
  <si>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</si>
  <si>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</si>
  <si>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</si>
  <si>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</si>
  <si>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</si>
  <si>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</si>
  <si>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</si>
  <si>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</si>
  <si>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</si>
  <si>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</si>
  <si>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</si>
  <si>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</si>
  <si>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</si>
  <si>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</si>
  <si>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</si>
  <si>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</si>
  <si>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</si>
  <si>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</si>
  <si>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</si>
  <si>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</si>
  <si>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</si>
  <si>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</si>
  <si>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</si>
  <si>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</si>
  <si>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</si>
  <si>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</si>
  <si>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</si>
  <si>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</si>
  <si>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</si>
  <si>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</si>
  <si>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</si>
  <si>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</si>
  <si>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</si>
  <si>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</si>
  <si>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</si>
  <si>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</si>
  <si>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</si>
  <si>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</si>
  <si>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</si>
  <si>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</si>
  <si>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</si>
  <si>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</si>
  <si>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</si>
  <si>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</si>
  <si>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</si>
  <si>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</si>
  <si>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</si>
  <si>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</si>
  <si>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</si>
  <si>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</si>
  <si>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</si>
  <si>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</si>
  <si>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</si>
  <si>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</si>
  <si>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</si>
  <si>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</si>
  <si>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</si>
  <si>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</si>
  <si>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</si>
  <si>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</si>
  <si>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</si>
  <si>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</si>
  <si>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</si>
  <si>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</si>
  <si>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</si>
  <si>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</si>
  <si>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</si>
  <si>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</si>
  <si>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</si>
  <si>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</si>
  <si>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</si>
  <si>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</si>
  <si>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</si>
  <si>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</si>
  <si>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</si>
  <si>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</si>
  <si>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</si>
  <si>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</si>
  <si>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</si>
  <si>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</si>
  <si>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</si>
  <si>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</si>
  <si>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</si>
  <si>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</si>
  <si>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</si>
  <si>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</si>
  <si>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</si>
  <si>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</si>
  <si>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</si>
  <si>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</si>
  <si>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</si>
  <si>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</si>
  <si>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</si>
  <si>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</si>
  <si>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</si>
  <si>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</si>
  <si>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</si>
  <si>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</si>
  <si>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</si>
  <si>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</si>
  <si>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</si>
  <si>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</si>
  <si>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</si>
  <si>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</si>
  <si>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</si>
  <si>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</si>
  <si>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</si>
  <si>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</si>
  <si>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</si>
  <si>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</si>
  <si>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</si>
  <si>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</si>
  <si>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</si>
  <si>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</si>
  <si>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</si>
  <si>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</si>
  <si>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</si>
  <si>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</si>
  <si>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</si>
  <si>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</si>
  <si>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</si>
  <si>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</si>
  <si>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</si>
  <si>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</si>
  <si>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</si>
  <si>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</si>
  <si>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</si>
  <si>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</si>
  <si>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</si>
  <si>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</si>
  <si>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</si>
  <si>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</si>
  <si>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</si>
  <si>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</si>
  <si>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</si>
  <si>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</si>
  <si>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</si>
  <si>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</si>
  <si>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</si>
  <si>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</si>
  <si>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</si>
  <si>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</si>
  <si>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</si>
  <si>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</si>
  <si>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</si>
  <si>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</si>
  <si>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</si>
  <si>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</si>
  <si>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</si>
  <si>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</si>
  <si>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</si>
  <si>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</si>
  <si>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</si>
  <si>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</si>
  <si>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</si>
  <si>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</si>
  <si>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</si>
  <si>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</si>
  <si>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</si>
  <si>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</si>
  <si>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</si>
  <si>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</si>
  <si>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</si>
  <si>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</si>
  <si>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</si>
  <si>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</si>
  <si>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</si>
  <si>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</si>
  <si>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</si>
  <si>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</si>
  <si>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</si>
  <si>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</si>
  <si>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</si>
  <si>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</si>
  <si>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</si>
  <si>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</si>
  <si>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</si>
  <si>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</si>
  <si>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</si>
  <si>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</si>
  <si>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</si>
  <si>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</si>
  <si>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</si>
  <si>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</si>
  <si>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</si>
  <si>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</si>
  <si>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</si>
  <si>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</si>
  <si>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</si>
  <si>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</si>
  <si>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</si>
  <si>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</si>
  <si>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</si>
  <si>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</si>
  <si>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</si>
  <si>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</si>
  <si>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</si>
  <si>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</si>
  <si>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</si>
  <si>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</si>
  <si>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</si>
  <si>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</si>
  <si>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</si>
  <si>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</si>
  <si>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</si>
  <si>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</si>
  <si>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</si>
  <si>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</si>
  <si>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</si>
  <si>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</si>
  <si>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</si>
  <si>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</si>
  <si>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</si>
  <si>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</si>
  <si>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</si>
  <si>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</si>
  <si>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</si>
  <si>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</si>
  <si>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</si>
  <si>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</si>
  <si>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</si>
  <si>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</si>
  <si>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</si>
  <si>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</si>
  <si>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</si>
  <si>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</si>
  <si>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</si>
  <si>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</si>
  <si>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</si>
  <si>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</si>
  <si>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</si>
  <si>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</si>
  <si>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</si>
  <si>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</si>
  <si>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</si>
  <si>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</si>
  <si>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</si>
  <si>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</si>
  <si>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</si>
  <si>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</si>
  <si>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</si>
  <si>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</si>
  <si>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</si>
  <si>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</si>
  <si>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</si>
  <si>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</si>
  <si>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</si>
  <si>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</si>
  <si>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</si>
  <si>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</si>
  <si>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</si>
  <si>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</si>
  <si>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</si>
  <si>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</si>
  <si>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</si>
  <si>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</si>
  <si>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</si>
  <si>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</si>
  <si>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</si>
  <si>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</si>
  <si>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</si>
  <si>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</si>
  <si>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</si>
  <si>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</si>
  <si>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</si>
  <si>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</si>
  <si>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</si>
  <si>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</si>
  <si>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</si>
  <si>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</si>
  <si>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</si>
  <si>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</si>
  <si>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</si>
  <si>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</si>
  <si>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</si>
  <si>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</si>
  <si>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</si>
  <si>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</si>
  <si>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</si>
  <si>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</si>
  <si>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</si>
  <si>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</si>
  <si>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</si>
  <si>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</si>
  <si>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</si>
  <si>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</si>
  <si>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</si>
  <si>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</si>
  <si>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</si>
  <si>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</si>
  <si>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</si>
  <si>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</si>
  <si>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</si>
  <si>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</si>
  <si>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</si>
  <si>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</si>
  <si>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</si>
  <si>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</si>
  <si>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</si>
  <si>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</si>
  <si>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</si>
  <si>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</si>
  <si>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</si>
  <si>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</si>
  <si>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</si>
  <si>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</si>
  <si>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</si>
  <si>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</si>
  <si>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</si>
  <si>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</si>
  <si>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</si>
  <si>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</si>
  <si>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</si>
  <si>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</si>
  <si>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</si>
  <si>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</si>
  <si>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</si>
  <si>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</si>
  <si>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</si>
  <si>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</si>
  <si>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</si>
  <si>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</si>
  <si>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</si>
  <si>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</si>
  <si>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</si>
  <si>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</si>
  <si>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</si>
  <si>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</si>
  <si>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</si>
  <si>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</si>
  <si>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</si>
  <si>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</si>
  <si>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</si>
  <si>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</si>
  <si>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</si>
  <si>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</si>
  <si>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</si>
  <si>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</si>
  <si>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</si>
  <si>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</si>
  <si>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</si>
  <si>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</si>
  <si>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</si>
  <si>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</si>
  <si>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</si>
  <si>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</si>
  <si>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</si>
  <si>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</si>
  <si>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</si>
  <si>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</si>
  <si>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</si>
  <si>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</si>
  <si>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</si>
  <si>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</si>
  <si>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</si>
  <si>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</si>
  <si>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</si>
  <si>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</si>
  <si>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</si>
  <si>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</si>
  <si>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</si>
  <si>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</si>
  <si>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</si>
  <si>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</si>
  <si>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</si>
  <si>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</si>
  <si>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</si>
  <si>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</si>
  <si>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</si>
  <si>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</si>
  <si>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</si>
  <si>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</si>
  <si>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</si>
  <si>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</si>
  <si>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</si>
  <si>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</si>
  <si>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</si>
  <si>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</si>
  <si>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</si>
  <si>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</si>
  <si>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</si>
  <si>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</si>
  <si>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</si>
  <si>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</si>
  <si>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</si>
  <si>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</si>
  <si>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</si>
  <si>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</si>
  <si>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</si>
  <si>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</si>
  <si>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</si>
  <si>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</si>
  <si>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</si>
  <si>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</si>
  <si>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</si>
  <si>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</si>
  <si>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</si>
  <si>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</si>
  <si>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</si>
  <si>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</si>
  <si>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</si>
  <si>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</si>
  <si>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</si>
  <si>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</si>
  <si>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</si>
  <si>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</si>
  <si>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</si>
  <si>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</si>
  <si>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</si>
  <si>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</si>
  <si>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</si>
  <si>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</si>
  <si>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</si>
  <si>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</si>
  <si>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</si>
  <si>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</si>
  <si>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</si>
  <si>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</si>
  <si>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</si>
  <si>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</si>
  <si>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</si>
  <si>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</si>
  <si>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</si>
  <si>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</si>
  <si>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</si>
  <si>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</si>
  <si>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</si>
  <si>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</si>
  <si>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r>
      <t xml:space="preserve">ERROR:
-&gt; gets </t>
    </r>
    <r>
      <rPr>
        <b/>
        <sz val="11"/>
        <color rgb="FFC00000"/>
        <rFont val="Calibri"/>
        <family val="2"/>
        <scheme val="minor"/>
      </rPr>
      <t>TEXT LESSONS</t>
    </r>
    <r>
      <rPr>
        <sz val="11"/>
        <color rgb="FFC00000"/>
        <rFont val="Calibri"/>
        <family val="2"/>
        <scheme val="minor"/>
      </rPr>
      <t xml:space="preserve"> gets </t>
    </r>
    <r>
      <rPr>
        <b/>
        <sz val="11"/>
        <color rgb="FFC00000"/>
        <rFont val="Calibri"/>
        <family val="2"/>
        <scheme val="minor"/>
      </rPr>
      <t>UNLOCKED</t>
    </r>
    <r>
      <rPr>
        <sz val="11"/>
        <color rgb="FFC00000"/>
        <rFont val="Calibri"/>
        <family val="2"/>
        <scheme val="minor"/>
      </rPr>
      <t xml:space="preserve"> by </t>
    </r>
    <r>
      <rPr>
        <b/>
        <u/>
        <sz val="11"/>
        <color rgb="FFC00000"/>
        <rFont val="Calibri"/>
        <family val="2"/>
        <scheme val="minor"/>
      </rPr>
      <t xml:space="preserve">WRONG EXERCISES
</t>
    </r>
    <r>
      <rPr>
        <sz val="11"/>
        <color rgb="FFC0000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</si>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</sst>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rgb="FFC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14" borderId="1" xfId="0" applyNumberFormat="1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10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0.66206896551724137</c:v>
                </c:pt>
                <c:pt idx="1">
                  <c:v>0.10344827586206896</c:v>
                </c:pt>
                <c:pt idx="2">
                  <c:v>0.20689655172413793</c:v>
                </c:pt>
                <c:pt idx="3">
                  <c:v>0</c:v>
                </c:pt>
                <c:pt idx="4">
                  <c:v>2.7586206896551724E-2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60</c:v>
                </c:pt>
                <c:pt idx="1">
                  <c:v>38</c:v>
                </c:pt>
                <c:pt idx="2">
                  <c:v>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37334688"/>
        <c:axId val="-1837332512"/>
      </c:barChart>
      <c:catAx>
        <c:axId val="-183733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7332512"/>
        <c:crosses val="autoZero"/>
        <c:auto val="1"/>
        <c:lblAlgn val="ctr"/>
        <c:lblOffset val="100"/>
        <c:noMultiLvlLbl val="0"/>
      </c:catAx>
      <c:valAx>
        <c:axId val="-183733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733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65" t="s">
        <v>0</v>
      </c>
      <c r="B1" s="165"/>
      <c r="C1" s="165"/>
    </row>
    <row r="2" spans="1:6" x14ac:dyDescent="0.25">
      <c r="A2" s="165"/>
      <c r="B2" s="165"/>
      <c r="C2" s="165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67" t="s">
        <v>43</v>
      </c>
      <c r="E4" s="167"/>
    </row>
    <row r="5" spans="1:6" x14ac:dyDescent="0.25">
      <c r="A5" s="166" t="s">
        <v>21</v>
      </c>
      <c r="B5" s="166"/>
      <c r="C5" s="166"/>
      <c r="D5" s="166"/>
      <c r="E5" s="166"/>
      <c r="F5" s="166"/>
    </row>
    <row r="6" spans="1:6" x14ac:dyDescent="0.25">
      <c r="A6" s="166"/>
      <c r="B6" s="166"/>
      <c r="C6" s="166"/>
      <c r="D6" s="166"/>
      <c r="E6" s="166"/>
      <c r="F6" s="166"/>
    </row>
    <row r="7" spans="1:6" x14ac:dyDescent="0.25">
      <c r="A7" s="7" t="s">
        <v>24</v>
      </c>
    </row>
    <row r="8" spans="1:6" x14ac:dyDescent="0.25">
      <c r="A8" s="168"/>
      <c r="B8" s="7" t="s">
        <v>25</v>
      </c>
    </row>
    <row r="9" spans="1:6" x14ac:dyDescent="0.25">
      <c r="A9" s="168"/>
      <c r="B9" s="7" t="s">
        <v>23</v>
      </c>
    </row>
    <row r="10" spans="1:6" x14ac:dyDescent="0.25">
      <c r="A10" s="168"/>
      <c r="C10" s="7" t="s">
        <v>35</v>
      </c>
    </row>
    <row r="11" spans="1:6" x14ac:dyDescent="0.25">
      <c r="A11" s="168"/>
      <c r="B11" s="7" t="s">
        <v>22</v>
      </c>
      <c r="C11" s="169"/>
    </row>
    <row r="12" spans="1:6" x14ac:dyDescent="0.25">
      <c r="A12" s="168"/>
      <c r="B12" s="7" t="s">
        <v>26</v>
      </c>
      <c r="C12" s="169"/>
    </row>
    <row r="13" spans="1:6" x14ac:dyDescent="0.25">
      <c r="A13" s="168"/>
      <c r="B13" s="7" t="s">
        <v>46</v>
      </c>
      <c r="C13" s="169"/>
    </row>
    <row r="14" spans="1:6" x14ac:dyDescent="0.25">
      <c r="A14" s="7" t="s">
        <v>27</v>
      </c>
      <c r="C14" s="169"/>
    </row>
    <row r="15" spans="1:6" x14ac:dyDescent="0.25">
      <c r="A15" s="168"/>
      <c r="B15" s="7" t="s">
        <v>28</v>
      </c>
      <c r="C15" s="169"/>
    </row>
    <row r="16" spans="1:6" x14ac:dyDescent="0.25">
      <c r="A16" s="168"/>
      <c r="B16" s="169"/>
      <c r="C16" s="18" t="s">
        <v>31</v>
      </c>
    </row>
    <row r="17" spans="1:4" x14ac:dyDescent="0.25">
      <c r="A17" s="168"/>
      <c r="B17" s="169"/>
      <c r="C17" s="169"/>
      <c r="D17" s="9" t="s">
        <v>40</v>
      </c>
    </row>
    <row r="18" spans="1:4" x14ac:dyDescent="0.25">
      <c r="A18" s="168"/>
      <c r="B18" s="169"/>
      <c r="C18" s="169"/>
      <c r="D18" s="9" t="s">
        <v>39</v>
      </c>
    </row>
    <row r="19" spans="1:4" x14ac:dyDescent="0.25">
      <c r="A19" s="168"/>
      <c r="B19" s="169"/>
      <c r="C19" s="169"/>
      <c r="D19" s="18" t="s">
        <v>22</v>
      </c>
    </row>
    <row r="20" spans="1:4" x14ac:dyDescent="0.25">
      <c r="A20" s="168"/>
      <c r="B20" s="169"/>
      <c r="C20" s="18" t="s">
        <v>32</v>
      </c>
    </row>
    <row r="21" spans="1:4" x14ac:dyDescent="0.25">
      <c r="A21" s="168"/>
      <c r="B21" s="169"/>
      <c r="C21" s="169"/>
      <c r="D21" s="9" t="s">
        <v>40</v>
      </c>
    </row>
    <row r="22" spans="1:4" x14ac:dyDescent="0.25">
      <c r="A22" s="168"/>
      <c r="B22" s="169"/>
      <c r="C22" s="169"/>
      <c r="D22" s="9" t="s">
        <v>39</v>
      </c>
    </row>
    <row r="23" spans="1:4" x14ac:dyDescent="0.25">
      <c r="A23" s="168"/>
      <c r="B23" s="169"/>
      <c r="C23" s="169"/>
      <c r="D23" s="18" t="s">
        <v>22</v>
      </c>
    </row>
    <row r="24" spans="1:4" x14ac:dyDescent="0.25">
      <c r="A24" s="168"/>
      <c r="B24" s="7" t="s">
        <v>29</v>
      </c>
      <c r="C24" s="169"/>
      <c r="D24" s="169"/>
    </row>
    <row r="25" spans="1:4" x14ac:dyDescent="0.25">
      <c r="A25" s="168"/>
      <c r="B25" s="169"/>
      <c r="C25" s="7" t="s">
        <v>33</v>
      </c>
      <c r="D25" s="169"/>
    </row>
    <row r="26" spans="1:4" x14ac:dyDescent="0.25">
      <c r="A26" s="168"/>
      <c r="B26" s="169"/>
      <c r="C26" s="169"/>
      <c r="D26" s="9" t="s">
        <v>40</v>
      </c>
    </row>
    <row r="27" spans="1:4" x14ac:dyDescent="0.25">
      <c r="A27" s="168"/>
      <c r="B27" s="169"/>
      <c r="C27" s="169"/>
      <c r="D27" s="7" t="s">
        <v>39</v>
      </c>
    </row>
    <row r="28" spans="1:4" x14ac:dyDescent="0.25">
      <c r="A28" s="168"/>
      <c r="B28" s="169"/>
      <c r="C28" s="169"/>
      <c r="D28" s="18" t="s">
        <v>22</v>
      </c>
    </row>
    <row r="29" spans="1:4" x14ac:dyDescent="0.25">
      <c r="A29" s="168"/>
      <c r="B29" s="169"/>
      <c r="C29" s="7" t="s">
        <v>34</v>
      </c>
    </row>
    <row r="30" spans="1:4" x14ac:dyDescent="0.25">
      <c r="A30" s="168"/>
      <c r="B30" s="169"/>
      <c r="C30" s="169"/>
      <c r="D30" s="7" t="s">
        <v>40</v>
      </c>
    </row>
    <row r="31" spans="1:4" x14ac:dyDescent="0.25">
      <c r="A31" s="168"/>
      <c r="B31" s="169"/>
      <c r="C31" s="169"/>
      <c r="D31" s="7" t="s">
        <v>39</v>
      </c>
    </row>
    <row r="32" spans="1:4" x14ac:dyDescent="0.25">
      <c r="A32" s="168"/>
      <c r="B32" s="169"/>
      <c r="C32" s="169"/>
      <c r="D32" s="7" t="s">
        <v>22</v>
      </c>
    </row>
    <row r="33" spans="1:4" x14ac:dyDescent="0.25">
      <c r="A33" s="168"/>
      <c r="B33" s="7" t="s">
        <v>30</v>
      </c>
      <c r="C33" s="169"/>
      <c r="D33" s="169"/>
    </row>
    <row r="34" spans="1:4" x14ac:dyDescent="0.25">
      <c r="A34" s="168"/>
      <c r="B34" s="169"/>
      <c r="C34" s="7" t="s">
        <v>33</v>
      </c>
      <c r="D34" s="169"/>
    </row>
    <row r="35" spans="1:4" x14ac:dyDescent="0.25">
      <c r="A35" s="168"/>
      <c r="B35" s="169"/>
      <c r="C35" s="170"/>
      <c r="D35" s="18" t="s">
        <v>40</v>
      </c>
    </row>
    <row r="36" spans="1:4" x14ac:dyDescent="0.25">
      <c r="A36" s="168"/>
      <c r="B36" s="169"/>
      <c r="C36" s="170"/>
      <c r="D36" s="7" t="s">
        <v>39</v>
      </c>
    </row>
    <row r="37" spans="1:4" x14ac:dyDescent="0.25">
      <c r="A37" s="168"/>
      <c r="B37" s="169"/>
      <c r="C37" s="170"/>
      <c r="D37" s="18" t="s">
        <v>22</v>
      </c>
    </row>
    <row r="38" spans="1:4" x14ac:dyDescent="0.25">
      <c r="A38" s="168"/>
      <c r="B38" s="169"/>
      <c r="C38" s="6" t="s">
        <v>34</v>
      </c>
    </row>
    <row r="39" spans="1:4" x14ac:dyDescent="0.25">
      <c r="A39" s="168"/>
      <c r="B39" s="169"/>
      <c r="C39" s="169"/>
      <c r="D39" s="6" t="s">
        <v>40</v>
      </c>
    </row>
    <row r="40" spans="1:4" x14ac:dyDescent="0.25">
      <c r="A40" s="168"/>
      <c r="B40" s="169"/>
      <c r="C40" s="169"/>
      <c r="D40" s="6" t="s">
        <v>39</v>
      </c>
    </row>
    <row r="41" spans="1:4" x14ac:dyDescent="0.25">
      <c r="A41" s="168"/>
      <c r="B41" s="169"/>
      <c r="C41" s="169"/>
      <c r="D41" s="6" t="s">
        <v>22</v>
      </c>
    </row>
    <row r="42" spans="1:4" x14ac:dyDescent="0.25">
      <c r="A42" s="7" t="s">
        <v>36</v>
      </c>
      <c r="B42" s="169"/>
      <c r="C42" s="169"/>
    </row>
    <row r="43" spans="1:4" x14ac:dyDescent="0.25">
      <c r="B43" s="7" t="s">
        <v>37</v>
      </c>
      <c r="C43" s="16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71" t="s">
        <v>1</v>
      </c>
      <c r="C1" s="171"/>
      <c r="D1" s="171"/>
      <c r="E1" s="171"/>
      <c r="F1" s="172" t="s">
        <v>16</v>
      </c>
      <c r="G1" s="172"/>
      <c r="H1" s="172"/>
      <c r="I1" s="172"/>
      <c r="J1" s="172"/>
      <c r="K1" s="172"/>
      <c r="L1" s="172"/>
      <c r="M1" s="172"/>
      <c r="N1" s="54" t="s">
        <v>124</v>
      </c>
      <c r="O1" s="173" t="s">
        <v>290</v>
      </c>
      <c r="P1" s="173"/>
      <c r="Q1" s="173"/>
      <c r="R1" s="173"/>
      <c r="S1" s="173"/>
      <c r="T1" s="116"/>
      <c r="U1" s="116"/>
      <c r="V1" s="116"/>
      <c r="W1" s="116"/>
      <c r="X1" s="174" t="s">
        <v>391</v>
      </c>
      <c r="Y1" s="174"/>
      <c r="Z1" s="174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75" t="s">
        <v>117</v>
      </c>
      <c r="B1" s="175"/>
      <c r="C1" s="175"/>
      <c r="D1" s="175"/>
      <c r="H1" s="175" t="s">
        <v>122</v>
      </c>
      <c r="I1" s="175"/>
      <c r="J1" s="175"/>
      <c r="K1" s="175"/>
      <c r="L1" s="175"/>
      <c r="N1" s="175" t="s">
        <v>482</v>
      </c>
      <c r="O1" s="175"/>
      <c r="P1" s="175"/>
      <c r="Q1" s="175"/>
      <c r="R1" s="175"/>
      <c r="S1" s="175"/>
      <c r="T1" s="175"/>
    </row>
    <row r="2" spans="1:20" x14ac:dyDescent="0.25">
      <c r="A2" s="175"/>
      <c r="B2" s="175"/>
      <c r="C2" s="175"/>
      <c r="D2" s="175"/>
      <c r="H2" s="175"/>
      <c r="I2" s="175"/>
      <c r="J2" s="175"/>
      <c r="K2" s="175"/>
      <c r="L2" s="175"/>
      <c r="N2" s="175"/>
      <c r="O2" s="175"/>
      <c r="P2" s="175"/>
      <c r="Q2" s="175"/>
      <c r="R2" s="175"/>
      <c r="S2" s="175"/>
      <c r="T2" s="175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50" t="s">
        <v>608</v>
      </c>
      <c r="O4" s="124">
        <f>COUNTIF(Testing!B2:B1048576,"WhiteBox")</f>
        <v>60</v>
      </c>
      <c r="P4" s="127">
        <f>O4 /O7</f>
        <v>0.41379310344827586</v>
      </c>
      <c r="R4" s="118" t="s">
        <v>41</v>
      </c>
      <c r="S4">
        <f>COUNTIF(Testing!C2:C1048576,"Finished")</f>
        <v>96</v>
      </c>
      <c r="T4" s="126">
        <f>S4/S9</f>
        <v>0.66206896551724137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50" t="s">
        <v>607</v>
      </c>
      <c r="O5" s="122">
        <f>COUNTIF(Testing!B2:B1048576,"GrayBox")</f>
        <v>38</v>
      </c>
      <c r="P5" s="130">
        <f>O5/ O7</f>
        <v>0.2620689655172414</v>
      </c>
      <c r="R5" s="118" t="s">
        <v>471</v>
      </c>
      <c r="S5">
        <f>COUNTIF(Testing!C2:C1048576,"Error")</f>
        <v>15</v>
      </c>
      <c r="T5" s="126">
        <f>S5/S9</f>
        <v>0.10344827586206896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50" t="s">
        <v>606</v>
      </c>
      <c r="O6" s="131">
        <f>COUNTIF(Testing!B2:B1048576,"BlackBox")</f>
        <v>47</v>
      </c>
      <c r="P6" s="132">
        <f>O6/O7</f>
        <v>0.32413793103448274</v>
      </c>
      <c r="R6" s="120" t="s">
        <v>472</v>
      </c>
      <c r="S6">
        <f>COUNTIF(Testing!C2:C1048576,"Fixed")</f>
        <v>30</v>
      </c>
      <c r="T6" s="126">
        <f>S6/S9</f>
        <v>0.20689655172413793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120</v>
      </c>
      <c r="O7" s="133">
        <f>SUM(O4:O6)</f>
        <v>145</v>
      </c>
      <c r="P7" s="134"/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/>
      <c r="O8" s="123"/>
      <c r="P8" s="135"/>
      <c r="R8" s="142" t="s">
        <v>65</v>
      </c>
      <c r="S8">
        <f>COUNTIF(Testing!C2:C1048576,"Not Started")</f>
        <v>4</v>
      </c>
      <c r="T8" s="126">
        <f>S8/S9</f>
        <v>2.7586206896551724E-2</v>
      </c>
    </row>
    <row r="9" spans="1:20" x14ac:dyDescent="0.25">
      <c r="N9" s="118"/>
      <c r="O9" s="136"/>
      <c r="P9" s="137"/>
      <c r="R9" s="141" t="s">
        <v>120</v>
      </c>
      <c r="S9">
        <f>SUM(S4:S8)</f>
        <v>145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76" t="s">
        <v>13</v>
      </c>
      <c r="B1" s="176"/>
      <c r="C1" s="176"/>
      <c r="D1" s="176"/>
      <c r="E1" s="176"/>
      <c r="F1" s="176"/>
      <c r="G1" s="176"/>
      <c r="H1" s="176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77" t="s">
        <v>197</v>
      </c>
      <c r="C15" s="177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78" t="s">
        <v>349</v>
      </c>
      <c r="F31" s="178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79" t="s">
        <v>384</v>
      </c>
      <c r="C35" s="179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88" t="s">
        <v>53</v>
      </c>
      <c r="B3" s="187" t="s">
        <v>59</v>
      </c>
      <c r="C3" s="13" t="s">
        <v>75</v>
      </c>
      <c r="D3" s="27" t="s">
        <v>61</v>
      </c>
      <c r="E3" s="186" t="s">
        <v>71</v>
      </c>
    </row>
    <row r="4" spans="1:6" ht="12" customHeight="1" x14ac:dyDescent="0.2">
      <c r="A4" s="188"/>
      <c r="B4" s="187"/>
      <c r="C4" s="13" t="s">
        <v>62</v>
      </c>
      <c r="D4" s="27" t="s">
        <v>61</v>
      </c>
      <c r="E4" s="186"/>
    </row>
    <row r="5" spans="1:6" ht="12" customHeight="1" x14ac:dyDescent="0.2">
      <c r="A5" s="188"/>
      <c r="B5" s="187"/>
      <c r="C5" s="13" t="s">
        <v>63</v>
      </c>
      <c r="D5" s="27" t="s">
        <v>61</v>
      </c>
      <c r="E5" s="186"/>
    </row>
    <row r="6" spans="1:6" ht="12" customHeight="1" x14ac:dyDescent="0.2">
      <c r="A6" s="188"/>
      <c r="B6" s="187"/>
      <c r="C6" s="13" t="s">
        <v>64</v>
      </c>
      <c r="D6" s="27" t="s">
        <v>61</v>
      </c>
      <c r="E6" s="186"/>
    </row>
    <row r="7" spans="1:6" ht="12" customHeight="1" x14ac:dyDescent="0.2">
      <c r="A7" s="188"/>
      <c r="B7" s="187"/>
      <c r="C7" s="13" t="s">
        <v>72</v>
      </c>
      <c r="D7" s="27" t="s">
        <v>61</v>
      </c>
      <c r="E7" s="186"/>
    </row>
    <row r="8" spans="1:6" ht="12" customHeight="1" x14ac:dyDescent="0.2">
      <c r="A8" s="188"/>
      <c r="B8" s="187"/>
      <c r="C8" s="13" t="s">
        <v>67</v>
      </c>
      <c r="D8" s="27" t="s">
        <v>61</v>
      </c>
      <c r="E8" s="186"/>
    </row>
    <row r="9" spans="1:6" ht="12" customHeight="1" x14ac:dyDescent="0.2">
      <c r="A9" s="188"/>
      <c r="B9" s="187"/>
      <c r="C9" s="13" t="s">
        <v>66</v>
      </c>
      <c r="D9" s="27" t="s">
        <v>61</v>
      </c>
      <c r="E9" s="186"/>
    </row>
    <row r="10" spans="1:6" ht="15" customHeight="1" x14ac:dyDescent="0.2">
      <c r="A10" s="188"/>
      <c r="B10" s="187"/>
      <c r="C10" s="13" t="s">
        <v>73</v>
      </c>
      <c r="D10" s="27" t="s">
        <v>61</v>
      </c>
      <c r="E10" s="186"/>
    </row>
    <row r="11" spans="1:6" x14ac:dyDescent="0.2">
      <c r="A11" s="188"/>
      <c r="B11" s="66" t="s">
        <v>88</v>
      </c>
      <c r="C11" s="13" t="s">
        <v>74</v>
      </c>
      <c r="D11" s="27" t="s">
        <v>61</v>
      </c>
      <c r="E11" s="186"/>
    </row>
    <row r="12" spans="1:6" x14ac:dyDescent="0.2">
      <c r="A12" s="188" t="s">
        <v>59</v>
      </c>
      <c r="C12" s="13" t="s">
        <v>89</v>
      </c>
      <c r="D12" s="27" t="s">
        <v>65</v>
      </c>
      <c r="E12" s="186" t="s">
        <v>85</v>
      </c>
    </row>
    <row r="13" spans="1:6" ht="24" x14ac:dyDescent="0.2">
      <c r="A13" s="188"/>
      <c r="B13" s="67" t="s">
        <v>223</v>
      </c>
      <c r="C13" s="13" t="s">
        <v>90</v>
      </c>
      <c r="D13" s="27" t="s">
        <v>61</v>
      </c>
      <c r="E13" s="186"/>
    </row>
    <row r="14" spans="1:6" ht="24" x14ac:dyDescent="0.2">
      <c r="A14" s="188" t="s">
        <v>88</v>
      </c>
      <c r="B14" s="67">
        <v>42621</v>
      </c>
      <c r="C14" s="13" t="s">
        <v>125</v>
      </c>
      <c r="D14" s="27" t="s">
        <v>61</v>
      </c>
      <c r="E14" s="186" t="s">
        <v>91</v>
      </c>
    </row>
    <row r="15" spans="1:6" ht="24" x14ac:dyDescent="0.2">
      <c r="A15" s="188"/>
      <c r="C15" s="13" t="s">
        <v>92</v>
      </c>
      <c r="D15" s="27" t="s">
        <v>65</v>
      </c>
      <c r="E15" s="186"/>
    </row>
    <row r="16" spans="1:6" x14ac:dyDescent="0.2">
      <c r="A16" s="188"/>
      <c r="C16" s="13" t="s">
        <v>97</v>
      </c>
      <c r="D16" s="27" t="s">
        <v>65</v>
      </c>
      <c r="E16" s="186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89" t="s">
        <v>110</v>
      </c>
      <c r="B18" s="67">
        <v>42712</v>
      </c>
      <c r="C18" s="13" t="s">
        <v>111</v>
      </c>
      <c r="D18" s="27" t="s">
        <v>61</v>
      </c>
      <c r="E18" s="181" t="s">
        <v>114</v>
      </c>
    </row>
    <row r="19" spans="1:5" x14ac:dyDescent="0.2">
      <c r="A19" s="189"/>
      <c r="B19" s="67" t="s">
        <v>110</v>
      </c>
      <c r="C19" s="13" t="s">
        <v>112</v>
      </c>
      <c r="D19" s="27" t="s">
        <v>61</v>
      </c>
      <c r="E19" s="181"/>
    </row>
    <row r="20" spans="1:5" x14ac:dyDescent="0.2">
      <c r="A20" s="189"/>
      <c r="B20" s="67" t="s">
        <v>116</v>
      </c>
      <c r="C20" s="13" t="s">
        <v>113</v>
      </c>
      <c r="D20" s="27" t="s">
        <v>61</v>
      </c>
      <c r="E20" s="181"/>
    </row>
    <row r="21" spans="1:5" x14ac:dyDescent="0.2">
      <c r="A21" s="182" t="s">
        <v>126</v>
      </c>
      <c r="C21" s="13" t="s">
        <v>127</v>
      </c>
      <c r="D21" s="27" t="s">
        <v>65</v>
      </c>
      <c r="E21" s="181" t="s">
        <v>130</v>
      </c>
    </row>
    <row r="22" spans="1:5" x14ac:dyDescent="0.2">
      <c r="A22" s="182"/>
      <c r="C22" s="13" t="s">
        <v>128</v>
      </c>
      <c r="D22" s="27" t="s">
        <v>65</v>
      </c>
      <c r="E22" s="181"/>
    </row>
    <row r="23" spans="1:5" ht="15" customHeight="1" x14ac:dyDescent="0.2">
      <c r="A23" s="182" t="s">
        <v>132</v>
      </c>
      <c r="B23" s="180" t="s">
        <v>132</v>
      </c>
      <c r="C23" s="13" t="s">
        <v>134</v>
      </c>
      <c r="D23" s="27" t="s">
        <v>61</v>
      </c>
      <c r="E23" s="181" t="s">
        <v>136</v>
      </c>
    </row>
    <row r="24" spans="1:5" ht="15" customHeight="1" x14ac:dyDescent="0.2">
      <c r="A24" s="182"/>
      <c r="B24" s="180"/>
      <c r="C24" s="13" t="s">
        <v>135</v>
      </c>
      <c r="D24" s="27" t="s">
        <v>61</v>
      </c>
      <c r="E24" s="181"/>
    </row>
    <row r="25" spans="1:5" ht="15" customHeight="1" x14ac:dyDescent="0.2">
      <c r="A25" s="182"/>
      <c r="B25" s="180"/>
      <c r="C25" s="13" t="s">
        <v>139</v>
      </c>
      <c r="D25" s="27" t="s">
        <v>61</v>
      </c>
      <c r="E25" s="181"/>
    </row>
    <row r="26" spans="1:5" ht="12" customHeight="1" x14ac:dyDescent="0.2">
      <c r="A26" s="190">
        <v>42588</v>
      </c>
      <c r="B26" s="194">
        <v>42588</v>
      </c>
      <c r="C26" s="58" t="s">
        <v>143</v>
      </c>
      <c r="D26" s="59" t="s">
        <v>61</v>
      </c>
      <c r="E26" s="192" t="s">
        <v>144</v>
      </c>
    </row>
    <row r="27" spans="1:5" ht="12" customHeight="1" x14ac:dyDescent="0.2">
      <c r="A27" s="191"/>
      <c r="B27" s="194"/>
      <c r="C27" s="58" t="s">
        <v>145</v>
      </c>
      <c r="D27" s="59" t="s">
        <v>61</v>
      </c>
      <c r="E27" s="193"/>
    </row>
    <row r="28" spans="1:5" ht="15" customHeight="1" x14ac:dyDescent="0.2">
      <c r="A28" s="191"/>
      <c r="B28" s="194"/>
      <c r="C28" s="58" t="s">
        <v>146</v>
      </c>
      <c r="D28" s="59" t="s">
        <v>61</v>
      </c>
      <c r="E28" s="193"/>
    </row>
    <row r="29" spans="1:5" ht="15" customHeight="1" x14ac:dyDescent="0.2">
      <c r="A29" s="191"/>
      <c r="B29" s="194"/>
      <c r="C29" s="58" t="s">
        <v>147</v>
      </c>
      <c r="D29" s="59" t="s">
        <v>61</v>
      </c>
      <c r="E29" s="193"/>
    </row>
    <row r="30" spans="1:5" ht="24" x14ac:dyDescent="0.2">
      <c r="A30" s="182">
        <v>42621</v>
      </c>
      <c r="B30" s="67">
        <v>42712</v>
      </c>
      <c r="C30" s="13" t="s">
        <v>150</v>
      </c>
      <c r="D30" s="27" t="s">
        <v>61</v>
      </c>
      <c r="E30" s="181" t="s">
        <v>151</v>
      </c>
    </row>
    <row r="31" spans="1:5" ht="24" x14ac:dyDescent="0.2">
      <c r="A31" s="182"/>
      <c r="B31" s="67">
        <v>42712</v>
      </c>
      <c r="C31" s="13" t="s">
        <v>153</v>
      </c>
      <c r="D31" s="27" t="s">
        <v>61</v>
      </c>
      <c r="E31" s="181"/>
    </row>
    <row r="32" spans="1:5" ht="15" customHeight="1" x14ac:dyDescent="0.2">
      <c r="A32" s="182">
        <v>42651</v>
      </c>
      <c r="B32" s="180">
        <v>42651</v>
      </c>
      <c r="C32" s="13" t="s">
        <v>178</v>
      </c>
      <c r="D32" s="59" t="s">
        <v>61</v>
      </c>
      <c r="E32" s="185" t="s">
        <v>154</v>
      </c>
    </row>
    <row r="33" spans="1:6" ht="15" customHeight="1" x14ac:dyDescent="0.2">
      <c r="A33" s="182"/>
      <c r="B33" s="180"/>
      <c r="C33" s="13" t="s">
        <v>177</v>
      </c>
      <c r="D33" s="59" t="s">
        <v>61</v>
      </c>
      <c r="E33" s="185"/>
    </row>
    <row r="34" spans="1:6" ht="15" customHeight="1" x14ac:dyDescent="0.2">
      <c r="A34" s="182"/>
      <c r="B34" s="180"/>
      <c r="C34" s="13" t="s">
        <v>179</v>
      </c>
      <c r="D34" s="59" t="s">
        <v>61</v>
      </c>
      <c r="E34" s="185"/>
    </row>
    <row r="35" spans="1:6" ht="15" customHeight="1" x14ac:dyDescent="0.2">
      <c r="A35" s="182"/>
      <c r="B35" s="180"/>
      <c r="C35" s="13" t="s">
        <v>156</v>
      </c>
      <c r="D35" s="59" t="s">
        <v>61</v>
      </c>
      <c r="E35" s="185"/>
      <c r="F35" s="183" t="s">
        <v>176</v>
      </c>
    </row>
    <row r="36" spans="1:6" ht="20.25" customHeight="1" x14ac:dyDescent="0.2">
      <c r="A36" s="182"/>
      <c r="B36" s="180"/>
      <c r="C36" s="13" t="s">
        <v>157</v>
      </c>
      <c r="D36" s="59" t="s">
        <v>61</v>
      </c>
      <c r="E36" s="185"/>
      <c r="F36" s="184"/>
    </row>
    <row r="37" spans="1:6" ht="15" customHeight="1" x14ac:dyDescent="0.2">
      <c r="A37" s="182"/>
      <c r="B37" s="180"/>
      <c r="C37" s="13" t="s">
        <v>158</v>
      </c>
      <c r="D37" s="27" t="s">
        <v>61</v>
      </c>
      <c r="E37" s="185"/>
    </row>
    <row r="38" spans="1:6" ht="15" customHeight="1" x14ac:dyDescent="0.2">
      <c r="A38" s="182"/>
      <c r="B38" s="180"/>
      <c r="C38" s="13" t="s">
        <v>159</v>
      </c>
      <c r="D38" s="27" t="s">
        <v>61</v>
      </c>
      <c r="E38" s="185"/>
    </row>
    <row r="39" spans="1:6" x14ac:dyDescent="0.2">
      <c r="A39" s="182"/>
      <c r="C39" s="13" t="s">
        <v>163</v>
      </c>
      <c r="D39" s="27" t="s">
        <v>65</v>
      </c>
      <c r="E39" s="185"/>
    </row>
    <row r="40" spans="1:6" x14ac:dyDescent="0.2">
      <c r="A40" s="182"/>
      <c r="B40" s="67" t="s">
        <v>184</v>
      </c>
      <c r="C40" s="13" t="s">
        <v>162</v>
      </c>
      <c r="D40" s="27" t="s">
        <v>61</v>
      </c>
      <c r="E40" s="185"/>
    </row>
    <row r="41" spans="1:6" ht="15" customHeight="1" x14ac:dyDescent="0.2">
      <c r="A41" s="182"/>
      <c r="B41" s="180" t="s">
        <v>194</v>
      </c>
      <c r="C41" s="13" t="s">
        <v>160</v>
      </c>
      <c r="D41" s="27" t="s">
        <v>61</v>
      </c>
      <c r="E41" s="185"/>
    </row>
    <row r="42" spans="1:6" ht="15" customHeight="1" x14ac:dyDescent="0.2">
      <c r="A42" s="182"/>
      <c r="B42" s="180"/>
      <c r="C42" s="13" t="s">
        <v>161</v>
      </c>
      <c r="D42" s="27" t="s">
        <v>61</v>
      </c>
      <c r="E42" s="185"/>
    </row>
    <row r="43" spans="1:6" x14ac:dyDescent="0.2">
      <c r="A43" s="182"/>
      <c r="C43" s="13" t="s">
        <v>166</v>
      </c>
      <c r="D43" s="27" t="s">
        <v>121</v>
      </c>
      <c r="E43" s="185"/>
    </row>
    <row r="44" spans="1:6" x14ac:dyDescent="0.2">
      <c r="A44" s="182"/>
      <c r="C44" s="13" t="s">
        <v>167</v>
      </c>
      <c r="D44" s="27" t="s">
        <v>121</v>
      </c>
      <c r="E44" s="185"/>
    </row>
    <row r="45" spans="1:6" x14ac:dyDescent="0.2">
      <c r="A45" s="182"/>
      <c r="B45" s="67">
        <v>42712</v>
      </c>
      <c r="C45" s="13" t="s">
        <v>169</v>
      </c>
      <c r="D45" s="27" t="s">
        <v>61</v>
      </c>
      <c r="E45" s="185"/>
    </row>
    <row r="46" spans="1:6" x14ac:dyDescent="0.2">
      <c r="A46" s="182">
        <v>42712</v>
      </c>
      <c r="C46" s="13" t="s">
        <v>170</v>
      </c>
      <c r="D46" s="27" t="s">
        <v>121</v>
      </c>
      <c r="E46" s="181" t="s">
        <v>171</v>
      </c>
    </row>
    <row r="47" spans="1:6" x14ac:dyDescent="0.2">
      <c r="A47" s="182"/>
      <c r="C47" s="13" t="s">
        <v>173</v>
      </c>
      <c r="D47" s="27" t="s">
        <v>121</v>
      </c>
      <c r="E47" s="181"/>
    </row>
    <row r="48" spans="1:6" ht="24" x14ac:dyDescent="0.2">
      <c r="A48" s="182"/>
      <c r="B48" s="180">
        <v>42712</v>
      </c>
      <c r="C48" s="13" t="s">
        <v>174</v>
      </c>
      <c r="D48" s="27" t="s">
        <v>61</v>
      </c>
      <c r="E48" s="181"/>
    </row>
    <row r="49" spans="1:5" ht="15" customHeight="1" x14ac:dyDescent="0.2">
      <c r="A49" s="182"/>
      <c r="B49" s="180"/>
      <c r="C49" s="13" t="s">
        <v>180</v>
      </c>
      <c r="D49" s="27" t="s">
        <v>61</v>
      </c>
      <c r="E49" s="181"/>
    </row>
    <row r="50" spans="1:5" ht="15" customHeight="1" x14ac:dyDescent="0.2">
      <c r="A50" s="182"/>
      <c r="B50" s="180"/>
      <c r="C50" s="13" t="s">
        <v>181</v>
      </c>
      <c r="D50" s="27" t="s">
        <v>61</v>
      </c>
      <c r="E50" s="181"/>
    </row>
    <row r="51" spans="1:5" ht="15" customHeight="1" x14ac:dyDescent="0.2">
      <c r="A51" s="182"/>
      <c r="B51" s="180"/>
      <c r="C51" s="13" t="s">
        <v>180</v>
      </c>
      <c r="D51" s="27" t="s">
        <v>61</v>
      </c>
      <c r="E51" s="181"/>
    </row>
    <row r="52" spans="1:5" ht="15" customHeight="1" x14ac:dyDescent="0.2">
      <c r="A52" s="182"/>
      <c r="B52" s="180"/>
      <c r="C52" s="13" t="s">
        <v>181</v>
      </c>
      <c r="D52" s="27" t="s">
        <v>61</v>
      </c>
      <c r="E52" s="181"/>
    </row>
    <row r="53" spans="1:5" ht="15" customHeight="1" x14ac:dyDescent="0.2">
      <c r="A53" s="182"/>
      <c r="B53" s="180"/>
      <c r="C53" s="13" t="s">
        <v>182</v>
      </c>
      <c r="D53" s="27" t="s">
        <v>61</v>
      </c>
      <c r="E53" s="181"/>
    </row>
    <row r="54" spans="1:5" ht="24" x14ac:dyDescent="0.2">
      <c r="A54" s="182" t="s">
        <v>188</v>
      </c>
      <c r="B54" s="71" t="s">
        <v>184</v>
      </c>
      <c r="C54" s="13" t="s">
        <v>186</v>
      </c>
      <c r="D54" s="27" t="s">
        <v>61</v>
      </c>
      <c r="E54" s="181" t="s">
        <v>218</v>
      </c>
    </row>
    <row r="55" spans="1:5" ht="15" customHeight="1" x14ac:dyDescent="0.2">
      <c r="A55" s="182"/>
      <c r="B55" s="73" t="s">
        <v>210</v>
      </c>
      <c r="C55" s="13" t="s">
        <v>187</v>
      </c>
      <c r="D55" s="27" t="s">
        <v>61</v>
      </c>
      <c r="E55" s="181"/>
    </row>
    <row r="56" spans="1:5" ht="15" customHeight="1" x14ac:dyDescent="0.2">
      <c r="A56" s="182"/>
      <c r="B56" s="180" t="s">
        <v>184</v>
      </c>
      <c r="C56" s="13" t="s">
        <v>189</v>
      </c>
      <c r="D56" s="27" t="s">
        <v>61</v>
      </c>
      <c r="E56" s="181"/>
    </row>
    <row r="57" spans="1:5" ht="15" customHeight="1" x14ac:dyDescent="0.2">
      <c r="A57" s="182"/>
      <c r="B57" s="180"/>
      <c r="C57" s="13" t="s">
        <v>190</v>
      </c>
      <c r="D57" s="27" t="s">
        <v>61</v>
      </c>
      <c r="E57" s="181"/>
    </row>
    <row r="58" spans="1:5" ht="15" customHeight="1" x14ac:dyDescent="0.2">
      <c r="A58" s="182"/>
      <c r="B58" s="180"/>
      <c r="C58" s="13" t="s">
        <v>191</v>
      </c>
      <c r="D58" s="27" t="s">
        <v>61</v>
      </c>
      <c r="E58" s="181"/>
    </row>
    <row r="59" spans="1:5" ht="15" customHeight="1" x14ac:dyDescent="0.2">
      <c r="A59" s="182"/>
      <c r="B59" s="180"/>
      <c r="C59" s="13" t="s">
        <v>193</v>
      </c>
      <c r="D59" s="27" t="s">
        <v>61</v>
      </c>
      <c r="E59" s="181"/>
    </row>
    <row r="60" spans="1:5" ht="15" customHeight="1" x14ac:dyDescent="0.2">
      <c r="A60" s="182"/>
      <c r="B60" s="180"/>
      <c r="C60" s="13" t="s">
        <v>192</v>
      </c>
      <c r="D60" s="27" t="s">
        <v>61</v>
      </c>
      <c r="E60" s="181"/>
    </row>
    <row r="61" spans="1:5" ht="15" customHeight="1" x14ac:dyDescent="0.2">
      <c r="A61" s="182" t="s">
        <v>194</v>
      </c>
      <c r="B61" s="180" t="s">
        <v>194</v>
      </c>
      <c r="C61" s="13" t="s">
        <v>200</v>
      </c>
      <c r="D61" s="27" t="s">
        <v>61</v>
      </c>
      <c r="E61" s="181" t="s">
        <v>195</v>
      </c>
    </row>
    <row r="62" spans="1:5" ht="15" customHeight="1" x14ac:dyDescent="0.2">
      <c r="A62" s="182"/>
      <c r="B62" s="180"/>
      <c r="C62" s="13" t="s">
        <v>199</v>
      </c>
      <c r="D62" s="27" t="s">
        <v>61</v>
      </c>
      <c r="E62" s="181"/>
    </row>
    <row r="63" spans="1:5" ht="15" customHeight="1" x14ac:dyDescent="0.2">
      <c r="A63" s="182"/>
      <c r="B63" s="180"/>
      <c r="C63" s="13" t="s">
        <v>201</v>
      </c>
      <c r="D63" s="27" t="s">
        <v>61</v>
      </c>
      <c r="E63" s="181"/>
    </row>
    <row r="64" spans="1:5" x14ac:dyDescent="0.2">
      <c r="A64" s="182"/>
      <c r="B64" s="67" t="s">
        <v>233</v>
      </c>
      <c r="C64" s="13" t="s">
        <v>202</v>
      </c>
      <c r="D64" s="27" t="s">
        <v>61</v>
      </c>
      <c r="E64" s="181"/>
    </row>
    <row r="65" spans="1:5" ht="15" customHeight="1" x14ac:dyDescent="0.2">
      <c r="A65" s="182"/>
      <c r="B65" s="180" t="s">
        <v>194</v>
      </c>
      <c r="C65" s="13" t="s">
        <v>206</v>
      </c>
      <c r="D65" s="27" t="s">
        <v>61</v>
      </c>
      <c r="E65" s="181"/>
    </row>
    <row r="66" spans="1:5" ht="15" customHeight="1" x14ac:dyDescent="0.2">
      <c r="A66" s="182"/>
      <c r="B66" s="180"/>
      <c r="C66" s="13" t="s">
        <v>203</v>
      </c>
      <c r="D66" s="27" t="s">
        <v>61</v>
      </c>
      <c r="E66" s="181"/>
    </row>
    <row r="67" spans="1:5" x14ac:dyDescent="0.2">
      <c r="A67" s="182"/>
      <c r="B67" s="67" t="s">
        <v>233</v>
      </c>
      <c r="C67" s="13" t="s">
        <v>204</v>
      </c>
      <c r="D67" s="27" t="s">
        <v>61</v>
      </c>
      <c r="E67" s="181"/>
    </row>
    <row r="68" spans="1:5" x14ac:dyDescent="0.2">
      <c r="A68" s="182"/>
      <c r="B68" s="67" t="s">
        <v>194</v>
      </c>
      <c r="C68" s="13" t="s">
        <v>205</v>
      </c>
      <c r="D68" s="27" t="s">
        <v>61</v>
      </c>
      <c r="E68" s="181"/>
    </row>
    <row r="69" spans="1:5" ht="24" x14ac:dyDescent="0.2">
      <c r="A69" s="182"/>
      <c r="B69" s="67" t="s">
        <v>252</v>
      </c>
      <c r="C69" s="72" t="s">
        <v>207</v>
      </c>
      <c r="D69" s="27" t="s">
        <v>61</v>
      </c>
      <c r="E69" s="181"/>
    </row>
    <row r="70" spans="1:5" x14ac:dyDescent="0.2">
      <c r="A70" s="182"/>
      <c r="C70" s="13" t="s">
        <v>208</v>
      </c>
      <c r="D70" s="27" t="s">
        <v>123</v>
      </c>
      <c r="E70" s="181"/>
    </row>
    <row r="71" spans="1:5" ht="24" x14ac:dyDescent="0.2">
      <c r="A71" s="182"/>
      <c r="C71" s="13" t="s">
        <v>209</v>
      </c>
      <c r="D71" s="27" t="s">
        <v>65</v>
      </c>
      <c r="E71" s="181"/>
    </row>
    <row r="72" spans="1:5" ht="15" customHeight="1" x14ac:dyDescent="0.2">
      <c r="A72" s="182" t="s">
        <v>210</v>
      </c>
      <c r="B72" s="180" t="s">
        <v>223</v>
      </c>
      <c r="C72" s="13" t="s">
        <v>212</v>
      </c>
      <c r="D72" s="27" t="s">
        <v>61</v>
      </c>
      <c r="E72" s="181" t="s">
        <v>216</v>
      </c>
    </row>
    <row r="73" spans="1:5" ht="15" customHeight="1" x14ac:dyDescent="0.2">
      <c r="A73" s="182"/>
      <c r="B73" s="180"/>
      <c r="C73" s="13" t="s">
        <v>213</v>
      </c>
      <c r="D73" s="27" t="s">
        <v>61</v>
      </c>
      <c r="E73" s="181"/>
    </row>
    <row r="74" spans="1:5" ht="15" customHeight="1" x14ac:dyDescent="0.2">
      <c r="A74" s="182"/>
      <c r="B74" s="180"/>
      <c r="C74" s="13" t="s">
        <v>214</v>
      </c>
      <c r="D74" s="27" t="s">
        <v>61</v>
      </c>
      <c r="E74" s="181"/>
    </row>
    <row r="75" spans="1:5" x14ac:dyDescent="0.2">
      <c r="A75" s="182"/>
      <c r="B75" s="67" t="s">
        <v>232</v>
      </c>
      <c r="C75" s="13" t="s">
        <v>215</v>
      </c>
      <c r="D75" s="27" t="s">
        <v>61</v>
      </c>
      <c r="E75" s="181"/>
    </row>
    <row r="76" spans="1:5" x14ac:dyDescent="0.2">
      <c r="A76" s="182"/>
      <c r="C76" s="13" t="s">
        <v>217</v>
      </c>
      <c r="D76" s="27" t="s">
        <v>121</v>
      </c>
      <c r="E76" s="181"/>
    </row>
    <row r="77" spans="1:5" x14ac:dyDescent="0.2">
      <c r="A77" s="182"/>
      <c r="B77" s="67" t="s">
        <v>210</v>
      </c>
      <c r="C77" s="13" t="s">
        <v>221</v>
      </c>
      <c r="D77" s="27" t="s">
        <v>61</v>
      </c>
      <c r="E77" s="181"/>
    </row>
    <row r="78" spans="1:5" ht="24" x14ac:dyDescent="0.2">
      <c r="A78" s="182" t="s">
        <v>223</v>
      </c>
      <c r="B78" s="67" t="s">
        <v>223</v>
      </c>
      <c r="C78" s="13" t="s">
        <v>222</v>
      </c>
      <c r="D78" s="27" t="s">
        <v>61</v>
      </c>
      <c r="E78" s="181" t="s">
        <v>224</v>
      </c>
    </row>
    <row r="79" spans="1:5" x14ac:dyDescent="0.2">
      <c r="A79" s="182"/>
      <c r="C79" s="13" t="s">
        <v>227</v>
      </c>
      <c r="D79" s="27" t="s">
        <v>65</v>
      </c>
      <c r="E79" s="181"/>
    </row>
    <row r="80" spans="1:5" ht="24" x14ac:dyDescent="0.2">
      <c r="A80" s="182"/>
      <c r="B80" s="180" t="s">
        <v>223</v>
      </c>
      <c r="C80" s="13" t="s">
        <v>229</v>
      </c>
      <c r="D80" s="27" t="s">
        <v>61</v>
      </c>
      <c r="E80" s="181"/>
    </row>
    <row r="81" spans="1:5" ht="24" x14ac:dyDescent="0.2">
      <c r="A81" s="182"/>
      <c r="B81" s="180"/>
      <c r="C81" s="13" t="s">
        <v>231</v>
      </c>
      <c r="D81" s="27" t="s">
        <v>61</v>
      </c>
      <c r="E81" s="181"/>
    </row>
    <row r="82" spans="1:5" ht="24" x14ac:dyDescent="0.2">
      <c r="A82" s="182" t="s">
        <v>233</v>
      </c>
      <c r="B82" s="180" t="s">
        <v>240</v>
      </c>
      <c r="C82" s="13" t="s">
        <v>236</v>
      </c>
      <c r="D82" s="27" t="s">
        <v>61</v>
      </c>
      <c r="E82" s="181" t="s">
        <v>235</v>
      </c>
    </row>
    <row r="83" spans="1:5" ht="24" x14ac:dyDescent="0.2">
      <c r="A83" s="182"/>
      <c r="B83" s="180"/>
      <c r="C83" s="13" t="s">
        <v>237</v>
      </c>
      <c r="D83" s="27" t="s">
        <v>61</v>
      </c>
      <c r="E83" s="181"/>
    </row>
    <row r="84" spans="1:5" ht="24" x14ac:dyDescent="0.2">
      <c r="A84" s="182"/>
      <c r="B84" s="67" t="s">
        <v>245</v>
      </c>
      <c r="C84" s="13" t="s">
        <v>238</v>
      </c>
      <c r="D84" s="27" t="s">
        <v>61</v>
      </c>
      <c r="E84" s="181"/>
    </row>
    <row r="85" spans="1:5" ht="24" x14ac:dyDescent="0.2">
      <c r="A85" s="182"/>
      <c r="C85" s="72" t="s">
        <v>269</v>
      </c>
      <c r="D85" s="27" t="s">
        <v>65</v>
      </c>
      <c r="E85" s="181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82" t="s">
        <v>252</v>
      </c>
      <c r="B88" s="180" t="s">
        <v>252</v>
      </c>
      <c r="C88" s="13" t="s">
        <v>254</v>
      </c>
      <c r="D88" s="27" t="s">
        <v>61</v>
      </c>
      <c r="E88" s="181" t="s">
        <v>255</v>
      </c>
    </row>
    <row r="89" spans="1:5" ht="15" customHeight="1" x14ac:dyDescent="0.2">
      <c r="A89" s="182"/>
      <c r="B89" s="180"/>
      <c r="C89" s="13" t="s">
        <v>256</v>
      </c>
      <c r="D89" s="27" t="s">
        <v>61</v>
      </c>
      <c r="E89" s="181"/>
    </row>
    <row r="90" spans="1:5" ht="24" x14ac:dyDescent="0.2">
      <c r="A90" s="182"/>
      <c r="B90" s="180"/>
      <c r="C90" s="13" t="s">
        <v>259</v>
      </c>
      <c r="D90" s="27" t="s">
        <v>61</v>
      </c>
      <c r="E90" s="181"/>
    </row>
    <row r="91" spans="1:5" ht="15" customHeight="1" x14ac:dyDescent="0.2">
      <c r="A91" s="182"/>
      <c r="B91" s="180"/>
      <c r="C91" s="13" t="s">
        <v>258</v>
      </c>
      <c r="D91" s="27" t="s">
        <v>61</v>
      </c>
      <c r="E91" s="181"/>
    </row>
    <row r="92" spans="1:5" ht="24" x14ac:dyDescent="0.2">
      <c r="A92" s="182"/>
      <c r="B92" s="67" t="s">
        <v>263</v>
      </c>
      <c r="C92" s="13" t="s">
        <v>257</v>
      </c>
      <c r="D92" s="27" t="s">
        <v>61</v>
      </c>
      <c r="E92" s="181"/>
    </row>
    <row r="93" spans="1:5" ht="24" x14ac:dyDescent="0.2">
      <c r="A93" s="182"/>
      <c r="B93" s="180" t="s">
        <v>252</v>
      </c>
      <c r="C93" s="13" t="s">
        <v>260</v>
      </c>
      <c r="D93" s="27" t="s">
        <v>61</v>
      </c>
      <c r="E93" s="181"/>
    </row>
    <row r="94" spans="1:5" ht="24" x14ac:dyDescent="0.2">
      <c r="A94" s="182"/>
      <c r="B94" s="180"/>
      <c r="C94" s="13" t="s">
        <v>261</v>
      </c>
      <c r="D94" s="27" t="s">
        <v>61</v>
      </c>
      <c r="E94" s="181"/>
    </row>
    <row r="95" spans="1:5" ht="15" customHeight="1" x14ac:dyDescent="0.2">
      <c r="A95" s="182"/>
      <c r="B95" s="180"/>
      <c r="C95" s="13" t="s">
        <v>262</v>
      </c>
      <c r="D95" s="27" t="s">
        <v>61</v>
      </c>
      <c r="E95" s="181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82" t="s">
        <v>270</v>
      </c>
      <c r="B97" s="180" t="s">
        <v>270</v>
      </c>
      <c r="C97" s="13" t="s">
        <v>271</v>
      </c>
      <c r="D97" s="27" t="s">
        <v>61</v>
      </c>
      <c r="E97" s="181" t="s">
        <v>272</v>
      </c>
    </row>
    <row r="98" spans="1:5" ht="15" customHeight="1" x14ac:dyDescent="0.2">
      <c r="A98" s="182"/>
      <c r="B98" s="180"/>
      <c r="C98" s="13" t="s">
        <v>275</v>
      </c>
      <c r="D98" s="27" t="s">
        <v>61</v>
      </c>
      <c r="E98" s="181"/>
    </row>
    <row r="99" spans="1:5" ht="24" x14ac:dyDescent="0.2">
      <c r="A99" s="182"/>
      <c r="B99" s="67" t="s">
        <v>331</v>
      </c>
      <c r="C99" s="13" t="s">
        <v>276</v>
      </c>
      <c r="D99" s="27" t="s">
        <v>61</v>
      </c>
      <c r="E99" s="181"/>
    </row>
    <row r="100" spans="1:5" x14ac:dyDescent="0.2">
      <c r="A100" s="182" t="s">
        <v>277</v>
      </c>
      <c r="B100" s="67" t="s">
        <v>277</v>
      </c>
      <c r="C100" s="13" t="s">
        <v>279</v>
      </c>
      <c r="D100" s="27" t="s">
        <v>61</v>
      </c>
      <c r="E100" s="181" t="s">
        <v>280</v>
      </c>
    </row>
    <row r="101" spans="1:5" x14ac:dyDescent="0.2">
      <c r="A101" s="182"/>
      <c r="B101" s="67" t="s">
        <v>331</v>
      </c>
      <c r="C101" s="13" t="s">
        <v>282</v>
      </c>
      <c r="D101" s="27" t="s">
        <v>61</v>
      </c>
      <c r="E101" s="181"/>
    </row>
    <row r="102" spans="1:5" x14ac:dyDescent="0.2">
      <c r="A102" s="182"/>
      <c r="C102" s="13" t="s">
        <v>283</v>
      </c>
      <c r="D102" s="27" t="s">
        <v>65</v>
      </c>
      <c r="E102" s="181"/>
    </row>
    <row r="103" spans="1:5" x14ac:dyDescent="0.2">
      <c r="A103" s="182"/>
      <c r="B103" s="67" t="s">
        <v>311</v>
      </c>
      <c r="C103" s="13" t="s">
        <v>284</v>
      </c>
      <c r="D103" s="27" t="s">
        <v>61</v>
      </c>
      <c r="E103" s="181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82" t="s">
        <v>295</v>
      </c>
      <c r="B105" s="180" t="s">
        <v>311</v>
      </c>
      <c r="C105" s="13" t="s">
        <v>310</v>
      </c>
      <c r="D105" s="27" t="s">
        <v>61</v>
      </c>
      <c r="E105" s="181" t="s">
        <v>296</v>
      </c>
    </row>
    <row r="106" spans="1:5" ht="15" customHeight="1" x14ac:dyDescent="0.2">
      <c r="A106" s="182"/>
      <c r="B106" s="180"/>
      <c r="C106" s="13" t="s">
        <v>297</v>
      </c>
      <c r="D106" s="27" t="s">
        <v>61</v>
      </c>
      <c r="E106" s="181"/>
    </row>
    <row r="107" spans="1:5" x14ac:dyDescent="0.2">
      <c r="A107" s="182"/>
      <c r="B107" s="67" t="s">
        <v>331</v>
      </c>
      <c r="C107" s="13" t="s">
        <v>298</v>
      </c>
      <c r="D107" s="27" t="s">
        <v>61</v>
      </c>
      <c r="E107" s="181"/>
    </row>
    <row r="108" spans="1:5" ht="15" customHeight="1" x14ac:dyDescent="0.2">
      <c r="A108" s="182"/>
      <c r="B108" s="180" t="s">
        <v>311</v>
      </c>
      <c r="C108" s="13" t="s">
        <v>299</v>
      </c>
      <c r="D108" s="27" t="s">
        <v>61</v>
      </c>
      <c r="E108" s="181"/>
    </row>
    <row r="109" spans="1:5" ht="15" customHeight="1" x14ac:dyDescent="0.2">
      <c r="A109" s="182"/>
      <c r="B109" s="180"/>
      <c r="C109" s="13" t="s">
        <v>301</v>
      </c>
      <c r="D109" s="27" t="s">
        <v>61</v>
      </c>
      <c r="E109" s="181"/>
    </row>
    <row r="110" spans="1:5" x14ac:dyDescent="0.2">
      <c r="A110" s="182"/>
      <c r="B110" s="67" t="s">
        <v>331</v>
      </c>
      <c r="C110" s="13" t="s">
        <v>302</v>
      </c>
      <c r="D110" s="27" t="s">
        <v>61</v>
      </c>
      <c r="E110" s="181"/>
    </row>
    <row r="111" spans="1:5" ht="15" customHeight="1" x14ac:dyDescent="0.2">
      <c r="A111" s="182"/>
      <c r="B111" s="180" t="s">
        <v>311</v>
      </c>
      <c r="C111" s="13" t="s">
        <v>300</v>
      </c>
      <c r="D111" s="27" t="s">
        <v>61</v>
      </c>
      <c r="E111" s="181"/>
    </row>
    <row r="112" spans="1:5" ht="15" customHeight="1" x14ac:dyDescent="0.2">
      <c r="A112" s="182" t="s">
        <v>311</v>
      </c>
      <c r="B112" s="180"/>
      <c r="C112" s="13" t="s">
        <v>312</v>
      </c>
      <c r="D112" s="27" t="s">
        <v>61</v>
      </c>
      <c r="E112" s="181" t="s">
        <v>314</v>
      </c>
    </row>
    <row r="113" spans="1:5" ht="15" customHeight="1" x14ac:dyDescent="0.2">
      <c r="A113" s="182"/>
      <c r="B113" s="180"/>
      <c r="C113" s="13" t="s">
        <v>313</v>
      </c>
      <c r="D113" s="27" t="s">
        <v>61</v>
      </c>
      <c r="E113" s="181"/>
    </row>
    <row r="114" spans="1:5" ht="15" customHeight="1" x14ac:dyDescent="0.2">
      <c r="A114" s="182"/>
      <c r="B114" s="180"/>
      <c r="C114" s="13" t="s">
        <v>317</v>
      </c>
      <c r="D114" s="27" t="s">
        <v>61</v>
      </c>
      <c r="E114" s="181"/>
    </row>
    <row r="115" spans="1:5" ht="15" customHeight="1" x14ac:dyDescent="0.2">
      <c r="A115" s="182"/>
      <c r="B115" s="180"/>
      <c r="C115" s="13" t="s">
        <v>318</v>
      </c>
      <c r="D115" s="27" t="s">
        <v>61</v>
      </c>
      <c r="E115" s="181"/>
    </row>
    <row r="116" spans="1:5" ht="15" customHeight="1" x14ac:dyDescent="0.2">
      <c r="A116" s="182"/>
      <c r="B116" s="180"/>
      <c r="C116" s="13" t="s">
        <v>319</v>
      </c>
      <c r="D116" s="27" t="s">
        <v>61</v>
      </c>
      <c r="E116" s="181"/>
    </row>
    <row r="117" spans="1:5" ht="24" x14ac:dyDescent="0.2">
      <c r="A117" s="182"/>
      <c r="C117" s="13" t="s">
        <v>320</v>
      </c>
      <c r="D117" s="27" t="s">
        <v>65</v>
      </c>
      <c r="E117" s="181"/>
    </row>
    <row r="118" spans="1:5" x14ac:dyDescent="0.2">
      <c r="A118" s="182" t="s">
        <v>322</v>
      </c>
      <c r="C118" s="13" t="s">
        <v>323</v>
      </c>
      <c r="D118" s="27" t="s">
        <v>123</v>
      </c>
      <c r="E118" s="181" t="s">
        <v>325</v>
      </c>
    </row>
    <row r="119" spans="1:5" x14ac:dyDescent="0.2">
      <c r="A119" s="182"/>
      <c r="C119" s="13" t="s">
        <v>324</v>
      </c>
      <c r="D119" s="27" t="s">
        <v>123</v>
      </c>
      <c r="E119" s="181"/>
    </row>
    <row r="120" spans="1:5" x14ac:dyDescent="0.2">
      <c r="A120" s="182"/>
      <c r="B120" s="67" t="s">
        <v>322</v>
      </c>
      <c r="C120" s="13" t="s">
        <v>328</v>
      </c>
      <c r="D120" s="27" t="s">
        <v>61</v>
      </c>
      <c r="E120" s="181"/>
    </row>
    <row r="121" spans="1:5" ht="24" x14ac:dyDescent="0.2">
      <c r="A121" s="182"/>
      <c r="B121" s="67" t="s">
        <v>331</v>
      </c>
      <c r="C121" s="13" t="s">
        <v>329</v>
      </c>
      <c r="D121" s="27" t="s">
        <v>61</v>
      </c>
      <c r="E121" s="181"/>
    </row>
    <row r="122" spans="1:5" ht="24" x14ac:dyDescent="0.2">
      <c r="A122" s="182"/>
      <c r="B122" s="67" t="s">
        <v>322</v>
      </c>
      <c r="C122" s="13" t="s">
        <v>330</v>
      </c>
      <c r="D122" s="27" t="s">
        <v>61</v>
      </c>
      <c r="E122" s="181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82">
        <v>42378</v>
      </c>
      <c r="B124" s="180">
        <v>42378</v>
      </c>
      <c r="C124" s="13" t="s">
        <v>339</v>
      </c>
      <c r="D124" s="27" t="s">
        <v>61</v>
      </c>
      <c r="E124" s="181" t="s">
        <v>337</v>
      </c>
    </row>
    <row r="125" spans="1:5" ht="15" customHeight="1" x14ac:dyDescent="0.2">
      <c r="A125" s="182"/>
      <c r="B125" s="180"/>
      <c r="C125" s="13" t="s">
        <v>340</v>
      </c>
      <c r="D125" s="27" t="s">
        <v>61</v>
      </c>
      <c r="E125" s="181"/>
    </row>
    <row r="126" spans="1:5" ht="24" x14ac:dyDescent="0.2">
      <c r="A126" s="182"/>
      <c r="B126" s="180"/>
      <c r="C126" s="13" t="s">
        <v>341</v>
      </c>
      <c r="D126" s="27" t="s">
        <v>61</v>
      </c>
      <c r="E126" s="181"/>
    </row>
    <row r="127" spans="1:5" ht="24" x14ac:dyDescent="0.2">
      <c r="A127" s="182"/>
      <c r="B127" s="180"/>
      <c r="C127" s="13" t="s">
        <v>342</v>
      </c>
      <c r="D127" s="27" t="s">
        <v>61</v>
      </c>
      <c r="E127" s="181"/>
    </row>
    <row r="128" spans="1:5" ht="21" customHeight="1" x14ac:dyDescent="0.2">
      <c r="A128" s="182"/>
      <c r="B128" s="180">
        <v>42438</v>
      </c>
      <c r="C128" s="13" t="s">
        <v>343</v>
      </c>
      <c r="D128" s="27" t="s">
        <v>61</v>
      </c>
      <c r="E128" s="181"/>
    </row>
    <row r="129" spans="1:5" ht="21" customHeight="1" x14ac:dyDescent="0.2">
      <c r="A129" s="182"/>
      <c r="B129" s="180"/>
      <c r="C129" s="13" t="s">
        <v>344</v>
      </c>
      <c r="D129" s="27" t="s">
        <v>61</v>
      </c>
      <c r="E129" s="181"/>
    </row>
    <row r="130" spans="1:5" ht="21" customHeight="1" x14ac:dyDescent="0.2">
      <c r="A130" s="182"/>
      <c r="B130" s="180"/>
      <c r="C130" s="13" t="s">
        <v>345</v>
      </c>
      <c r="D130" s="27" t="s">
        <v>61</v>
      </c>
      <c r="E130" s="181"/>
    </row>
    <row r="131" spans="1:5" ht="21" customHeight="1" x14ac:dyDescent="0.2">
      <c r="A131" s="182"/>
      <c r="B131" s="180"/>
      <c r="C131" s="13" t="s">
        <v>346</v>
      </c>
      <c r="D131" s="27" t="s">
        <v>61</v>
      </c>
      <c r="E131" s="181"/>
    </row>
    <row r="132" spans="1:5" ht="15" customHeight="1" x14ac:dyDescent="0.2">
      <c r="A132" s="182">
        <v>42469</v>
      </c>
      <c r="B132" s="180">
        <v>42469</v>
      </c>
      <c r="C132" s="13" t="s">
        <v>350</v>
      </c>
      <c r="D132" s="27" t="s">
        <v>61</v>
      </c>
      <c r="E132" s="181" t="s">
        <v>347</v>
      </c>
    </row>
    <row r="133" spans="1:5" ht="15" customHeight="1" x14ac:dyDescent="0.2">
      <c r="A133" s="182"/>
      <c r="B133" s="180"/>
      <c r="C133" s="13" t="s">
        <v>351</v>
      </c>
      <c r="D133" s="27" t="s">
        <v>61</v>
      </c>
      <c r="E133" s="181"/>
    </row>
    <row r="134" spans="1:5" ht="15" customHeight="1" x14ac:dyDescent="0.2">
      <c r="A134" s="182"/>
      <c r="B134" s="180"/>
      <c r="C134" s="13" t="s">
        <v>357</v>
      </c>
      <c r="D134" s="27" t="s">
        <v>61</v>
      </c>
      <c r="E134" s="181"/>
    </row>
    <row r="135" spans="1:5" ht="15" customHeight="1" x14ac:dyDescent="0.2">
      <c r="A135" s="182"/>
      <c r="B135" s="180"/>
      <c r="C135" s="13" t="s">
        <v>352</v>
      </c>
      <c r="D135" s="27" t="s">
        <v>61</v>
      </c>
      <c r="E135" s="181"/>
    </row>
    <row r="136" spans="1:5" ht="15" customHeight="1" x14ac:dyDescent="0.2">
      <c r="A136" s="182"/>
      <c r="B136" s="180"/>
      <c r="C136" s="13" t="s">
        <v>353</v>
      </c>
      <c r="D136" s="27" t="s">
        <v>61</v>
      </c>
      <c r="E136" s="181"/>
    </row>
    <row r="137" spans="1:5" ht="15" customHeight="1" x14ac:dyDescent="0.2">
      <c r="A137" s="182"/>
      <c r="B137" s="180"/>
      <c r="C137" s="13" t="s">
        <v>354</v>
      </c>
      <c r="D137" s="27" t="s">
        <v>61</v>
      </c>
      <c r="E137" s="181"/>
    </row>
    <row r="138" spans="1:5" ht="15" customHeight="1" x14ac:dyDescent="0.2">
      <c r="A138" s="182"/>
      <c r="B138" s="180"/>
      <c r="C138" s="13" t="s">
        <v>355</v>
      </c>
      <c r="D138" s="27" t="s">
        <v>61</v>
      </c>
      <c r="E138" s="181"/>
    </row>
    <row r="139" spans="1:5" ht="36" x14ac:dyDescent="0.2">
      <c r="A139" s="182"/>
      <c r="B139" s="67">
        <v>42499</v>
      </c>
      <c r="C139" s="13" t="s">
        <v>356</v>
      </c>
      <c r="D139" s="27" t="s">
        <v>61</v>
      </c>
      <c r="E139" s="181"/>
    </row>
    <row r="140" spans="1:5" ht="24" x14ac:dyDescent="0.2">
      <c r="A140" s="182"/>
      <c r="C140" s="13" t="s">
        <v>428</v>
      </c>
      <c r="D140" s="27" t="s">
        <v>65</v>
      </c>
      <c r="E140" s="181"/>
    </row>
    <row r="141" spans="1:5" ht="24" x14ac:dyDescent="0.2">
      <c r="A141" s="182"/>
      <c r="C141" s="13" t="s">
        <v>427</v>
      </c>
      <c r="D141" s="27" t="s">
        <v>65</v>
      </c>
      <c r="E141" s="181"/>
    </row>
    <row r="142" spans="1:5" ht="36" x14ac:dyDescent="0.2">
      <c r="A142" s="182"/>
      <c r="C142" s="13" t="s">
        <v>359</v>
      </c>
      <c r="D142" s="27" t="s">
        <v>65</v>
      </c>
      <c r="E142" s="181"/>
    </row>
    <row r="143" spans="1:5" x14ac:dyDescent="0.2">
      <c r="A143" s="182"/>
      <c r="C143" s="72" t="s">
        <v>358</v>
      </c>
      <c r="D143" s="27" t="s">
        <v>65</v>
      </c>
      <c r="E143" s="181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82">
        <v>42530</v>
      </c>
      <c r="C145" s="13" t="s">
        <v>368</v>
      </c>
      <c r="D145" s="27" t="s">
        <v>65</v>
      </c>
      <c r="E145" s="181" t="s">
        <v>364</v>
      </c>
      <c r="F145" s="195" t="s">
        <v>370</v>
      </c>
    </row>
    <row r="146" spans="1:6" ht="16.5" customHeight="1" x14ac:dyDescent="0.2">
      <c r="A146" s="182"/>
      <c r="B146" s="89"/>
      <c r="C146" s="13" t="s">
        <v>371</v>
      </c>
      <c r="D146" s="27" t="s">
        <v>65</v>
      </c>
      <c r="E146" s="181"/>
      <c r="F146" s="195"/>
    </row>
    <row r="147" spans="1:6" ht="16.5" customHeight="1" x14ac:dyDescent="0.2">
      <c r="A147" s="182"/>
      <c r="C147" s="13" t="s">
        <v>369</v>
      </c>
      <c r="D147" s="27" t="s">
        <v>65</v>
      </c>
      <c r="E147" s="181"/>
      <c r="F147" s="195"/>
    </row>
    <row r="148" spans="1:6" ht="16.5" customHeight="1" x14ac:dyDescent="0.2">
      <c r="A148" s="182"/>
      <c r="C148" s="13" t="s">
        <v>372</v>
      </c>
      <c r="D148" s="27" t="s">
        <v>65</v>
      </c>
      <c r="E148" s="181"/>
      <c r="F148" s="195"/>
    </row>
    <row r="149" spans="1:6" ht="16.5" customHeight="1" x14ac:dyDescent="0.2">
      <c r="A149" s="182"/>
      <c r="C149" s="13" t="s">
        <v>373</v>
      </c>
      <c r="D149" s="27" t="s">
        <v>65</v>
      </c>
      <c r="E149" s="181"/>
      <c r="F149" s="195"/>
    </row>
    <row r="150" spans="1:6" ht="16.5" customHeight="1" x14ac:dyDescent="0.2">
      <c r="A150" s="182"/>
      <c r="C150" s="13" t="s">
        <v>374</v>
      </c>
      <c r="D150" s="27" t="s">
        <v>65</v>
      </c>
      <c r="E150" s="181"/>
      <c r="F150" s="195"/>
    </row>
    <row r="151" spans="1:6" x14ac:dyDescent="0.2">
      <c r="A151" s="182">
        <v>42591</v>
      </c>
      <c r="C151" s="13" t="s">
        <v>378</v>
      </c>
      <c r="D151" s="27" t="s">
        <v>121</v>
      </c>
      <c r="E151" s="181" t="s">
        <v>376</v>
      </c>
    </row>
    <row r="152" spans="1:6" ht="24" x14ac:dyDescent="0.2">
      <c r="A152" s="182"/>
      <c r="C152" s="13" t="s">
        <v>379</v>
      </c>
      <c r="D152" s="27" t="s">
        <v>121</v>
      </c>
      <c r="E152" s="181"/>
    </row>
    <row r="153" spans="1:6" x14ac:dyDescent="0.2">
      <c r="A153" s="182"/>
      <c r="C153" s="72" t="s">
        <v>380</v>
      </c>
      <c r="D153" s="27" t="s">
        <v>123</v>
      </c>
      <c r="E153" s="181"/>
    </row>
    <row r="154" spans="1:6" ht="15" customHeight="1" x14ac:dyDescent="0.2">
      <c r="A154" s="182">
        <v>42622</v>
      </c>
      <c r="B154" s="180">
        <v>42622</v>
      </c>
      <c r="C154" s="13" t="s">
        <v>381</v>
      </c>
      <c r="D154" s="27" t="s">
        <v>61</v>
      </c>
      <c r="E154" s="181" t="s">
        <v>382</v>
      </c>
    </row>
    <row r="155" spans="1:6" ht="15" customHeight="1" x14ac:dyDescent="0.2">
      <c r="A155" s="182"/>
      <c r="B155" s="180"/>
      <c r="C155" s="13" t="s">
        <v>385</v>
      </c>
      <c r="D155" s="27" t="s">
        <v>61</v>
      </c>
      <c r="E155" s="181"/>
    </row>
    <row r="156" spans="1:6" ht="24" x14ac:dyDescent="0.2">
      <c r="A156" s="182"/>
      <c r="B156" s="180"/>
      <c r="C156" s="13" t="s">
        <v>401</v>
      </c>
      <c r="D156" s="27" t="s">
        <v>61</v>
      </c>
      <c r="E156" s="181"/>
      <c r="F156" s="99" t="s">
        <v>386</v>
      </c>
    </row>
    <row r="157" spans="1:6" x14ac:dyDescent="0.2">
      <c r="A157" s="182"/>
      <c r="B157" s="94"/>
      <c r="C157" s="13" t="s">
        <v>400</v>
      </c>
      <c r="D157" s="27" t="s">
        <v>65</v>
      </c>
      <c r="E157" s="181"/>
      <c r="F157" s="97"/>
    </row>
    <row r="158" spans="1:6" x14ac:dyDescent="0.2">
      <c r="A158" s="182"/>
      <c r="B158" s="67">
        <v>42683</v>
      </c>
      <c r="C158" s="13" t="s">
        <v>387</v>
      </c>
      <c r="D158" s="27" t="s">
        <v>123</v>
      </c>
      <c r="E158" s="181"/>
    </row>
    <row r="159" spans="1:6" x14ac:dyDescent="0.2">
      <c r="A159" s="182"/>
      <c r="B159" s="103">
        <v>42683</v>
      </c>
      <c r="C159" s="13" t="s">
        <v>399</v>
      </c>
      <c r="D159" s="27" t="s">
        <v>61</v>
      </c>
      <c r="E159" s="181"/>
    </row>
    <row r="160" spans="1:6" x14ac:dyDescent="0.2">
      <c r="A160" s="182">
        <v>42652</v>
      </c>
      <c r="B160" s="67">
        <v>42683</v>
      </c>
      <c r="C160" s="13" t="s">
        <v>403</v>
      </c>
      <c r="D160" s="27" t="s">
        <v>123</v>
      </c>
      <c r="E160" s="181" t="s">
        <v>402</v>
      </c>
    </row>
    <row r="161" spans="1:5" ht="24" x14ac:dyDescent="0.2">
      <c r="A161" s="182"/>
      <c r="C161" s="72" t="s">
        <v>409</v>
      </c>
      <c r="D161" s="27" t="s">
        <v>65</v>
      </c>
      <c r="E161" s="181"/>
    </row>
    <row r="162" spans="1:5" ht="24" x14ac:dyDescent="0.2">
      <c r="A162" s="182"/>
      <c r="C162" s="72" t="s">
        <v>408</v>
      </c>
      <c r="D162" s="27" t="s">
        <v>65</v>
      </c>
      <c r="E162" s="181"/>
    </row>
    <row r="163" spans="1:5" x14ac:dyDescent="0.2">
      <c r="A163" s="182"/>
      <c r="B163" s="67">
        <v>42713</v>
      </c>
      <c r="C163" s="72" t="s">
        <v>404</v>
      </c>
      <c r="D163" s="27" t="s">
        <v>61</v>
      </c>
      <c r="E163" s="181"/>
    </row>
    <row r="164" spans="1:5" x14ac:dyDescent="0.2">
      <c r="A164" s="182"/>
      <c r="B164" s="67">
        <v>42683</v>
      </c>
      <c r="C164" s="100" t="s">
        <v>407</v>
      </c>
      <c r="D164" s="27" t="s">
        <v>61</v>
      </c>
      <c r="E164" s="181"/>
    </row>
    <row r="165" spans="1:5" x14ac:dyDescent="0.2">
      <c r="A165" s="182">
        <v>42683</v>
      </c>
      <c r="C165" s="72" t="s">
        <v>410</v>
      </c>
      <c r="D165" s="27" t="s">
        <v>65</v>
      </c>
      <c r="E165" s="181" t="s">
        <v>411</v>
      </c>
    </row>
    <row r="166" spans="1:5" x14ac:dyDescent="0.2">
      <c r="A166" s="182"/>
      <c r="B166" s="67">
        <v>42683</v>
      </c>
      <c r="C166" s="13" t="s">
        <v>415</v>
      </c>
      <c r="D166" s="27" t="s">
        <v>61</v>
      </c>
      <c r="E166" s="181"/>
    </row>
    <row r="167" spans="1:5" x14ac:dyDescent="0.2">
      <c r="A167" s="182"/>
      <c r="B167" s="102">
        <v>42683</v>
      </c>
      <c r="C167" s="13" t="s">
        <v>414</v>
      </c>
      <c r="D167" s="27" t="s">
        <v>61</v>
      </c>
      <c r="E167" s="181"/>
    </row>
    <row r="168" spans="1:5" x14ac:dyDescent="0.2">
      <c r="A168" s="182"/>
      <c r="B168" s="102">
        <v>42683</v>
      </c>
      <c r="C168" s="13" t="s">
        <v>416</v>
      </c>
      <c r="D168" s="27" t="s">
        <v>61</v>
      </c>
      <c r="E168" s="181"/>
    </row>
    <row r="169" spans="1:5" x14ac:dyDescent="0.2">
      <c r="A169" s="182"/>
      <c r="C169" s="13" t="s">
        <v>417</v>
      </c>
      <c r="D169" s="27" t="s">
        <v>65</v>
      </c>
      <c r="E169" s="181"/>
    </row>
    <row r="170" spans="1:5" ht="24" x14ac:dyDescent="0.2">
      <c r="A170" s="182"/>
      <c r="C170" s="13" t="s">
        <v>418</v>
      </c>
      <c r="D170" s="27" t="s">
        <v>65</v>
      </c>
      <c r="E170" s="181"/>
    </row>
    <row r="171" spans="1:5" x14ac:dyDescent="0.2">
      <c r="A171" s="182"/>
      <c r="C171" s="13" t="s">
        <v>420</v>
      </c>
      <c r="D171" s="27" t="s">
        <v>65</v>
      </c>
      <c r="E171" s="181"/>
    </row>
    <row r="172" spans="1:5" x14ac:dyDescent="0.2">
      <c r="A172" s="182">
        <v>42713</v>
      </c>
      <c r="B172" s="105">
        <v>42713</v>
      </c>
      <c r="C172" s="13" t="s">
        <v>421</v>
      </c>
      <c r="D172" s="27" t="s">
        <v>61</v>
      </c>
      <c r="E172" s="181" t="s">
        <v>423</v>
      </c>
    </row>
    <row r="173" spans="1:5" ht="24" x14ac:dyDescent="0.2">
      <c r="A173" s="182"/>
      <c r="C173" s="13" t="s">
        <v>422</v>
      </c>
      <c r="D173" s="27" t="s">
        <v>65</v>
      </c>
      <c r="E173" s="181"/>
    </row>
    <row r="174" spans="1:5" ht="24" x14ac:dyDescent="0.2">
      <c r="A174" s="182"/>
      <c r="C174" s="72" t="s">
        <v>425</v>
      </c>
      <c r="D174" s="27" t="s">
        <v>65</v>
      </c>
      <c r="E174" s="181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88" t="s">
        <v>434</v>
      </c>
      <c r="B176" s="187" t="s">
        <v>434</v>
      </c>
      <c r="C176" s="111" t="s">
        <v>439</v>
      </c>
      <c r="D176" s="112" t="s">
        <v>61</v>
      </c>
      <c r="E176" s="196" t="s">
        <v>435</v>
      </c>
    </row>
    <row r="177" spans="1:5" ht="15" customHeight="1" x14ac:dyDescent="0.2">
      <c r="A177" s="188"/>
      <c r="B177" s="187"/>
      <c r="C177" s="111" t="s">
        <v>438</v>
      </c>
      <c r="D177" s="112" t="s">
        <v>61</v>
      </c>
      <c r="E177" s="196"/>
    </row>
    <row r="178" spans="1:5" ht="15" customHeight="1" x14ac:dyDescent="0.2">
      <c r="A178" s="188"/>
      <c r="B178" s="187"/>
      <c r="C178" s="111" t="s">
        <v>440</v>
      </c>
      <c r="D178" s="112" t="s">
        <v>61</v>
      </c>
      <c r="E178" s="196"/>
    </row>
    <row r="179" spans="1:5" ht="15" customHeight="1" x14ac:dyDescent="0.2">
      <c r="A179" s="188"/>
      <c r="B179" s="187"/>
      <c r="C179" s="111" t="s">
        <v>441</v>
      </c>
      <c r="D179" s="112" t="s">
        <v>61</v>
      </c>
      <c r="E179" s="196"/>
    </row>
    <row r="180" spans="1:5" ht="15" customHeight="1" x14ac:dyDescent="0.2">
      <c r="A180" s="188"/>
      <c r="B180" s="187"/>
      <c r="C180" s="13" t="s">
        <v>442</v>
      </c>
      <c r="D180" s="27" t="s">
        <v>61</v>
      </c>
      <c r="E180" s="196"/>
    </row>
    <row r="181" spans="1:5" ht="24" x14ac:dyDescent="0.2">
      <c r="A181" s="188"/>
      <c r="B181" s="187"/>
      <c r="C181" s="13" t="s">
        <v>443</v>
      </c>
      <c r="D181" s="27" t="s">
        <v>61</v>
      </c>
      <c r="E181" s="196"/>
    </row>
    <row r="182" spans="1:5" ht="24" x14ac:dyDescent="0.2">
      <c r="A182" s="188"/>
      <c r="B182" s="187"/>
      <c r="C182" s="13" t="s">
        <v>444</v>
      </c>
      <c r="D182" s="27" t="s">
        <v>61</v>
      </c>
      <c r="E182" s="196"/>
    </row>
    <row r="183" spans="1:5" ht="24" x14ac:dyDescent="0.2">
      <c r="A183" s="188"/>
      <c r="B183" s="187"/>
      <c r="C183" s="13" t="s">
        <v>445</v>
      </c>
      <c r="D183" s="27" t="s">
        <v>61</v>
      </c>
      <c r="E183" s="196"/>
    </row>
    <row r="184" spans="1:5" ht="24" x14ac:dyDescent="0.2">
      <c r="A184" s="188"/>
      <c r="B184" s="187"/>
      <c r="C184" s="13" t="s">
        <v>446</v>
      </c>
      <c r="D184" s="27" t="s">
        <v>61</v>
      </c>
      <c r="E184" s="196"/>
    </row>
    <row r="185" spans="1:5" ht="15" customHeight="1" x14ac:dyDescent="0.2">
      <c r="A185" s="188"/>
      <c r="B185" s="187"/>
      <c r="C185" s="111" t="s">
        <v>447</v>
      </c>
      <c r="D185" s="27" t="s">
        <v>61</v>
      </c>
      <c r="E185" s="196"/>
    </row>
    <row r="186" spans="1:5" ht="15" customHeight="1" x14ac:dyDescent="0.2">
      <c r="A186" s="188"/>
      <c r="B186" s="187"/>
      <c r="C186" s="111" t="s">
        <v>448</v>
      </c>
      <c r="D186" s="27" t="s">
        <v>61</v>
      </c>
      <c r="E186" s="196"/>
    </row>
    <row r="187" spans="1:5" ht="36" x14ac:dyDescent="0.2">
      <c r="A187" s="182" t="s">
        <v>449</v>
      </c>
      <c r="B187" s="180" t="s">
        <v>453</v>
      </c>
      <c r="C187" s="13" t="s">
        <v>456</v>
      </c>
      <c r="D187" s="27" t="s">
        <v>61</v>
      </c>
      <c r="E187" s="181" t="s">
        <v>450</v>
      </c>
    </row>
    <row r="188" spans="1:5" ht="24" x14ac:dyDescent="0.2">
      <c r="A188" s="182"/>
      <c r="B188" s="180"/>
      <c r="C188" s="13" t="s">
        <v>455</v>
      </c>
      <c r="D188" s="27" t="s">
        <v>61</v>
      </c>
      <c r="E188" s="181"/>
    </row>
    <row r="189" spans="1:5" ht="15" customHeight="1" x14ac:dyDescent="0.2">
      <c r="A189" s="182"/>
      <c r="B189" s="180" t="s">
        <v>453</v>
      </c>
      <c r="C189" s="13" t="s">
        <v>454</v>
      </c>
      <c r="D189" s="27" t="s">
        <v>61</v>
      </c>
      <c r="E189" s="181"/>
    </row>
    <row r="190" spans="1:5" ht="24" x14ac:dyDescent="0.2">
      <c r="A190" s="182"/>
      <c r="B190" s="180"/>
      <c r="C190" s="13" t="s">
        <v>457</v>
      </c>
      <c r="D190" s="27" t="s">
        <v>61</v>
      </c>
      <c r="E190" s="181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6"/>
  <sheetViews>
    <sheetView tabSelected="1" workbookViewId="0">
      <pane ySplit="1" topLeftCell="A143" activePane="bottomLeft" state="frozen"/>
      <selection pane="bottomLeft" activeCell="D55" sqref="D55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39" t="s">
        <v>175</v>
      </c>
      <c r="E1" s="146" t="s">
        <v>554</v>
      </c>
      <c r="F1" s="146" t="s">
        <v>556</v>
      </c>
    </row>
    <row r="2" spans="1:9" ht="60" x14ac:dyDescent="0.25">
      <c r="A2" s="140" t="s">
        <v>473</v>
      </c>
      <c r="B2" s="119" t="s">
        <v>608</v>
      </c>
      <c r="C2" s="119" t="s">
        <v>472</v>
      </c>
      <c r="D2" s="154" t="s">
        <v>615</v>
      </c>
      <c r="E2" s="204" t="s">
        <v>555</v>
      </c>
      <c r="F2" s="153" t="s">
        <v>555</v>
      </c>
      <c r="H2" s="202" t="s">
        <v>483</v>
      </c>
      <c r="I2" s="203"/>
    </row>
    <row r="3" spans="1:9" x14ac:dyDescent="0.25">
      <c r="A3" s="140" t="s">
        <v>474</v>
      </c>
      <c r="B3" s="159" t="s">
        <v>608</v>
      </c>
      <c r="C3" s="119" t="s">
        <v>41</v>
      </c>
      <c r="E3" s="204"/>
      <c r="H3" s="203"/>
      <c r="I3" s="203"/>
    </row>
    <row r="4" spans="1:9" ht="90" x14ac:dyDescent="0.25">
      <c r="A4" s="140" t="s">
        <v>475</v>
      </c>
      <c r="B4" s="159" t="s">
        <v>608</v>
      </c>
      <c r="C4" s="119" t="s">
        <v>472</v>
      </c>
      <c r="D4" s="161" t="s">
        <v>616</v>
      </c>
      <c r="E4" s="204"/>
      <c r="F4" s="209" t="s">
        <v>555</v>
      </c>
    </row>
    <row r="5" spans="1:9" ht="45" x14ac:dyDescent="0.25">
      <c r="A5" s="140" t="s">
        <v>476</v>
      </c>
      <c r="B5" s="159" t="s">
        <v>608</v>
      </c>
      <c r="C5" s="119" t="s">
        <v>472</v>
      </c>
      <c r="D5" s="154" t="s">
        <v>617</v>
      </c>
      <c r="E5" s="204"/>
      <c r="F5" s="209"/>
    </row>
    <row r="6" spans="1:9" x14ac:dyDescent="0.25">
      <c r="A6" s="140" t="s">
        <v>477</v>
      </c>
      <c r="B6" s="159" t="s">
        <v>608</v>
      </c>
      <c r="C6" s="119" t="s">
        <v>41</v>
      </c>
      <c r="E6" s="204"/>
    </row>
    <row r="7" spans="1:9" ht="30" x14ac:dyDescent="0.25">
      <c r="A7" s="140" t="s">
        <v>478</v>
      </c>
      <c r="B7" s="159" t="s">
        <v>608</v>
      </c>
      <c r="C7" s="119" t="s">
        <v>472</v>
      </c>
      <c r="D7" s="154" t="s">
        <v>618</v>
      </c>
      <c r="E7" s="204"/>
      <c r="F7" s="153" t="s">
        <v>555</v>
      </c>
    </row>
    <row r="8" spans="1:9" x14ac:dyDescent="0.25">
      <c r="A8" s="140" t="s">
        <v>479</v>
      </c>
      <c r="B8" s="159" t="s">
        <v>608</v>
      </c>
      <c r="C8" s="119" t="s">
        <v>41</v>
      </c>
      <c r="E8" s="204"/>
    </row>
    <row r="9" spans="1:9" ht="60" x14ac:dyDescent="0.25">
      <c r="A9" s="140" t="s">
        <v>480</v>
      </c>
      <c r="B9" s="159" t="s">
        <v>608</v>
      </c>
      <c r="C9" s="119" t="s">
        <v>472</v>
      </c>
      <c r="D9" s="151" t="s">
        <v>512</v>
      </c>
      <c r="E9" s="204"/>
      <c r="F9" s="209" t="s">
        <v>555</v>
      </c>
    </row>
    <row r="10" spans="1:9" ht="60" x14ac:dyDescent="0.25">
      <c r="A10" s="140" t="s">
        <v>481</v>
      </c>
      <c r="B10" s="159" t="s">
        <v>608</v>
      </c>
      <c r="C10" s="119" t="s">
        <v>472</v>
      </c>
      <c r="D10" s="161" t="s">
        <v>619</v>
      </c>
      <c r="E10" s="204"/>
      <c r="F10" s="209"/>
    </row>
    <row r="11" spans="1:9" x14ac:dyDescent="0.25">
      <c r="A11" s="140" t="s">
        <v>484</v>
      </c>
      <c r="B11" s="159" t="s">
        <v>608</v>
      </c>
      <c r="C11" s="119" t="s">
        <v>41</v>
      </c>
      <c r="E11" s="204"/>
    </row>
    <row r="12" spans="1:9" ht="45" x14ac:dyDescent="0.25">
      <c r="A12" s="140" t="s">
        <v>485</v>
      </c>
      <c r="B12" s="159" t="s">
        <v>608</v>
      </c>
      <c r="C12" s="119" t="s">
        <v>472</v>
      </c>
      <c r="D12" s="154" t="s">
        <v>620</v>
      </c>
      <c r="E12" s="204"/>
      <c r="F12" s="153" t="s">
        <v>555</v>
      </c>
    </row>
    <row r="13" spans="1:9" x14ac:dyDescent="0.25">
      <c r="A13" s="140" t="s">
        <v>486</v>
      </c>
      <c r="B13" s="159" t="s">
        <v>608</v>
      </c>
      <c r="C13" s="119" t="s">
        <v>41</v>
      </c>
      <c r="E13" s="204"/>
    </row>
    <row r="14" spans="1:9" ht="30" x14ac:dyDescent="0.25">
      <c r="A14" s="140" t="s">
        <v>487</v>
      </c>
      <c r="B14" s="159" t="s">
        <v>608</v>
      </c>
      <c r="C14" s="119" t="s">
        <v>41</v>
      </c>
      <c r="D14" s="151" t="s">
        <v>593</v>
      </c>
      <c r="E14" s="204"/>
    </row>
    <row r="15" spans="1:9" x14ac:dyDescent="0.25">
      <c r="A15" s="140" t="s">
        <v>488</v>
      </c>
      <c r="B15" s="159" t="s">
        <v>608</v>
      </c>
      <c r="C15" s="119" t="s">
        <v>41</v>
      </c>
      <c r="E15" s="204"/>
    </row>
    <row r="16" spans="1:9" x14ac:dyDescent="0.25">
      <c r="A16" s="140" t="s">
        <v>489</v>
      </c>
      <c r="B16" s="159" t="s">
        <v>608</v>
      </c>
      <c r="C16" s="119" t="s">
        <v>41</v>
      </c>
      <c r="E16" s="204"/>
    </row>
    <row r="17" spans="1:6" x14ac:dyDescent="0.25">
      <c r="A17" s="140" t="s">
        <v>490</v>
      </c>
      <c r="B17" s="159" t="s">
        <v>608</v>
      </c>
      <c r="C17" s="119" t="s">
        <v>41</v>
      </c>
      <c r="E17" s="204"/>
    </row>
    <row r="18" spans="1:6" x14ac:dyDescent="0.25">
      <c r="A18" s="140" t="s">
        <v>491</v>
      </c>
      <c r="B18" s="159" t="s">
        <v>608</v>
      </c>
      <c r="C18" s="119" t="s">
        <v>41</v>
      </c>
      <c r="E18" s="204"/>
    </row>
    <row r="19" spans="1:6" ht="45" x14ac:dyDescent="0.25">
      <c r="A19" s="140" t="s">
        <v>492</v>
      </c>
      <c r="B19" s="159" t="s">
        <v>608</v>
      </c>
      <c r="C19" s="119" t="s">
        <v>472</v>
      </c>
      <c r="D19" s="164" t="s">
        <v>650</v>
      </c>
      <c r="E19" s="204"/>
      <c r="F19" s="163">
        <v>42411</v>
      </c>
    </row>
    <row r="20" spans="1:6" ht="75" x14ac:dyDescent="0.25">
      <c r="A20" s="140" t="s">
        <v>493</v>
      </c>
      <c r="B20" s="159" t="s">
        <v>608</v>
      </c>
      <c r="C20" s="119" t="s">
        <v>472</v>
      </c>
      <c r="D20" s="154" t="s">
        <v>621</v>
      </c>
      <c r="E20" s="204"/>
      <c r="F20" s="153" t="s">
        <v>555</v>
      </c>
    </row>
    <row r="21" spans="1:6" ht="45" x14ac:dyDescent="0.25">
      <c r="A21" s="140" t="s">
        <v>494</v>
      </c>
      <c r="B21" s="159" t="s">
        <v>608</v>
      </c>
      <c r="C21" s="119" t="s">
        <v>472</v>
      </c>
      <c r="D21" s="164" t="s">
        <v>666</v>
      </c>
      <c r="E21" s="204"/>
      <c r="F21" s="163">
        <v>42411</v>
      </c>
    </row>
    <row r="22" spans="1:6" x14ac:dyDescent="0.25">
      <c r="A22" s="140" t="s">
        <v>495</v>
      </c>
      <c r="B22" s="159" t="s">
        <v>608</v>
      </c>
      <c r="C22" s="119" t="s">
        <v>41</v>
      </c>
      <c r="D22" s="151" t="s">
        <v>500</v>
      </c>
      <c r="E22" s="204"/>
    </row>
    <row r="23" spans="1:6" x14ac:dyDescent="0.25">
      <c r="A23" s="140" t="s">
        <v>496</v>
      </c>
      <c r="B23" s="159" t="s">
        <v>608</v>
      </c>
      <c r="C23" s="119" t="s">
        <v>41</v>
      </c>
      <c r="E23" s="204"/>
    </row>
    <row r="24" spans="1:6" x14ac:dyDescent="0.25">
      <c r="A24" s="140" t="s">
        <v>497</v>
      </c>
      <c r="B24" s="159" t="s">
        <v>608</v>
      </c>
      <c r="C24" s="119" t="s">
        <v>41</v>
      </c>
      <c r="E24" s="204"/>
    </row>
    <row r="25" spans="1:6" x14ac:dyDescent="0.25">
      <c r="A25" s="140" t="s">
        <v>498</v>
      </c>
      <c r="B25" s="159" t="s">
        <v>608</v>
      </c>
      <c r="C25" s="119" t="s">
        <v>41</v>
      </c>
      <c r="E25" s="204"/>
    </row>
    <row r="26" spans="1:6" ht="75" x14ac:dyDescent="0.25">
      <c r="A26" s="140" t="s">
        <v>499</v>
      </c>
      <c r="B26" s="159" t="s">
        <v>608</v>
      </c>
      <c r="C26" s="119" t="s">
        <v>472</v>
      </c>
      <c r="D26" s="161" t="s">
        <v>622</v>
      </c>
      <c r="E26" s="204"/>
      <c r="F26" s="153" t="s">
        <v>555</v>
      </c>
    </row>
    <row r="27" spans="1:6" ht="45" x14ac:dyDescent="0.25">
      <c r="A27" s="140" t="s">
        <v>501</v>
      </c>
      <c r="B27" s="159" t="s">
        <v>608</v>
      </c>
      <c r="C27" s="119" t="s">
        <v>472</v>
      </c>
      <c r="D27" s="164" t="s">
        <v>667</v>
      </c>
      <c r="E27" s="204"/>
      <c r="F27" s="163">
        <v>42411</v>
      </c>
    </row>
    <row r="28" spans="1:6" ht="60" x14ac:dyDescent="0.25">
      <c r="A28" s="140" t="s">
        <v>502</v>
      </c>
      <c r="B28" s="159" t="s">
        <v>608</v>
      </c>
      <c r="C28" s="119" t="s">
        <v>472</v>
      </c>
      <c r="D28" s="154" t="s">
        <v>623</v>
      </c>
      <c r="E28" s="204"/>
      <c r="F28" s="153" t="s">
        <v>555</v>
      </c>
    </row>
    <row r="29" spans="1:6" x14ac:dyDescent="0.25">
      <c r="A29" s="140" t="s">
        <v>503</v>
      </c>
      <c r="B29" s="159" t="s">
        <v>608</v>
      </c>
      <c r="C29" s="119" t="s">
        <v>41</v>
      </c>
      <c r="E29" s="204"/>
    </row>
    <row r="30" spans="1:6" x14ac:dyDescent="0.25">
      <c r="A30" s="140" t="s">
        <v>504</v>
      </c>
      <c r="B30" s="159" t="s">
        <v>608</v>
      </c>
      <c r="C30" s="119" t="s">
        <v>41</v>
      </c>
      <c r="E30" s="204"/>
    </row>
    <row r="31" spans="1:6" x14ac:dyDescent="0.25">
      <c r="A31" s="140" t="s">
        <v>505</v>
      </c>
      <c r="B31" s="159" t="s">
        <v>608</v>
      </c>
      <c r="C31" s="119" t="s">
        <v>41</v>
      </c>
      <c r="E31" s="204"/>
    </row>
    <row r="32" spans="1:6" x14ac:dyDescent="0.25">
      <c r="A32" s="140" t="s">
        <v>506</v>
      </c>
      <c r="B32" s="159" t="s">
        <v>608</v>
      </c>
      <c r="C32" s="119" t="s">
        <v>41</v>
      </c>
      <c r="E32" s="204"/>
    </row>
    <row r="33" spans="1:5" x14ac:dyDescent="0.25">
      <c r="A33" s="140" t="s">
        <v>507</v>
      </c>
      <c r="B33" s="159" t="s">
        <v>608</v>
      </c>
      <c r="C33" s="119" t="s">
        <v>41</v>
      </c>
      <c r="E33" s="204"/>
    </row>
    <row r="34" spans="1:5" x14ac:dyDescent="0.25">
      <c r="A34" s="140" t="s">
        <v>508</v>
      </c>
      <c r="B34" s="159" t="s">
        <v>608</v>
      </c>
      <c r="C34" s="119" t="s">
        <v>41</v>
      </c>
      <c r="E34" s="204"/>
    </row>
    <row r="35" spans="1:5" x14ac:dyDescent="0.25">
      <c r="A35" s="140" t="s">
        <v>509</v>
      </c>
      <c r="B35" s="159" t="s">
        <v>608</v>
      </c>
      <c r="C35" s="119" t="s">
        <v>41</v>
      </c>
      <c r="E35" s="204"/>
    </row>
    <row r="36" spans="1:5" x14ac:dyDescent="0.25">
      <c r="A36" s="140" t="s">
        <v>510</v>
      </c>
      <c r="B36" s="159" t="s">
        <v>608</v>
      </c>
      <c r="C36" s="119" t="s">
        <v>41</v>
      </c>
      <c r="E36" s="204"/>
    </row>
    <row r="37" spans="1:5" x14ac:dyDescent="0.25">
      <c r="A37" s="140" t="s">
        <v>511</v>
      </c>
      <c r="B37" s="159" t="s">
        <v>608</v>
      </c>
      <c r="C37" s="119" t="s">
        <v>41</v>
      </c>
      <c r="E37" s="204"/>
    </row>
    <row r="38" spans="1:5" ht="30" x14ac:dyDescent="0.25">
      <c r="A38" s="140" t="s">
        <v>534</v>
      </c>
      <c r="B38" s="159" t="s">
        <v>608</v>
      </c>
      <c r="C38" s="143" t="s">
        <v>41</v>
      </c>
      <c r="E38" s="204"/>
    </row>
    <row r="39" spans="1:5" ht="30" x14ac:dyDescent="0.25">
      <c r="A39" s="140" t="s">
        <v>540</v>
      </c>
      <c r="B39" s="159" t="s">
        <v>608</v>
      </c>
      <c r="C39" s="143" t="s">
        <v>41</v>
      </c>
      <c r="E39" s="204"/>
    </row>
    <row r="40" spans="1:5" ht="30" x14ac:dyDescent="0.25">
      <c r="A40" s="140" t="s">
        <v>539</v>
      </c>
      <c r="B40" s="159" t="s">
        <v>608</v>
      </c>
      <c r="C40" s="143" t="s">
        <v>41</v>
      </c>
      <c r="E40" s="204"/>
    </row>
    <row r="41" spans="1:5" x14ac:dyDescent="0.25">
      <c r="A41" s="140" t="s">
        <v>538</v>
      </c>
      <c r="B41" s="159" t="s">
        <v>608</v>
      </c>
      <c r="C41" s="143" t="s">
        <v>41</v>
      </c>
      <c r="E41" s="204"/>
    </row>
    <row r="42" spans="1:5" ht="30" x14ac:dyDescent="0.25">
      <c r="A42" s="140" t="s">
        <v>537</v>
      </c>
      <c r="B42" s="159" t="s">
        <v>608</v>
      </c>
      <c r="C42" s="143" t="s">
        <v>41</v>
      </c>
      <c r="E42" s="204"/>
    </row>
    <row r="43" spans="1:5" ht="30" x14ac:dyDescent="0.25">
      <c r="A43" s="140" t="s">
        <v>536</v>
      </c>
      <c r="B43" s="159" t="s">
        <v>608</v>
      </c>
      <c r="C43" s="143" t="s">
        <v>41</v>
      </c>
      <c r="E43" s="204"/>
    </row>
    <row r="44" spans="1:5" x14ac:dyDescent="0.25">
      <c r="A44" s="140" t="s">
        <v>541</v>
      </c>
      <c r="B44" s="159" t="s">
        <v>608</v>
      </c>
      <c r="C44" s="143" t="s">
        <v>41</v>
      </c>
      <c r="E44" s="204"/>
    </row>
    <row r="45" spans="1:5" ht="30" x14ac:dyDescent="0.25">
      <c r="A45" s="140" t="s">
        <v>542</v>
      </c>
      <c r="B45" s="159" t="s">
        <v>608</v>
      </c>
      <c r="C45" s="143" t="s">
        <v>41</v>
      </c>
      <c r="E45" s="204"/>
    </row>
    <row r="46" spans="1:5" x14ac:dyDescent="0.25">
      <c r="A46" s="140" t="s">
        <v>535</v>
      </c>
      <c r="B46" s="159" t="s">
        <v>608</v>
      </c>
      <c r="C46" s="143" t="s">
        <v>41</v>
      </c>
      <c r="E46" s="204"/>
    </row>
    <row r="47" spans="1:5" x14ac:dyDescent="0.25">
      <c r="A47" s="140" t="s">
        <v>513</v>
      </c>
      <c r="B47" s="159" t="s">
        <v>608</v>
      </c>
      <c r="C47" s="119" t="s">
        <v>41</v>
      </c>
      <c r="E47" s="204"/>
    </row>
    <row r="48" spans="1:5" x14ac:dyDescent="0.25">
      <c r="A48" s="140" t="s">
        <v>514</v>
      </c>
      <c r="B48" s="159" t="s">
        <v>608</v>
      </c>
      <c r="C48" s="119" t="s">
        <v>41</v>
      </c>
      <c r="E48" s="204"/>
    </row>
    <row r="49" spans="1:6" x14ac:dyDescent="0.25">
      <c r="A49" s="140" t="s">
        <v>519</v>
      </c>
      <c r="B49" s="159" t="s">
        <v>608</v>
      </c>
      <c r="C49" s="119" t="s">
        <v>41</v>
      </c>
      <c r="E49" s="204"/>
    </row>
    <row r="50" spans="1:6" x14ac:dyDescent="0.25">
      <c r="A50" s="140" t="s">
        <v>520</v>
      </c>
      <c r="B50" s="159" t="s">
        <v>608</v>
      </c>
      <c r="C50" s="119" t="s">
        <v>41</v>
      </c>
      <c r="E50" s="204"/>
    </row>
    <row r="51" spans="1:6" x14ac:dyDescent="0.25">
      <c r="A51" s="140" t="s">
        <v>526</v>
      </c>
      <c r="B51" s="159" t="s">
        <v>608</v>
      </c>
      <c r="C51" s="119" t="s">
        <v>41</v>
      </c>
      <c r="E51" s="204"/>
    </row>
    <row r="52" spans="1:6" x14ac:dyDescent="0.25">
      <c r="A52" s="140" t="s">
        <v>518</v>
      </c>
      <c r="B52" s="159" t="s">
        <v>608</v>
      </c>
      <c r="C52" s="119" t="s">
        <v>41</v>
      </c>
      <c r="E52" s="204"/>
    </row>
    <row r="53" spans="1:6" x14ac:dyDescent="0.25">
      <c r="A53" s="140" t="s">
        <v>522</v>
      </c>
      <c r="B53" s="159" t="s">
        <v>608</v>
      </c>
      <c r="C53" s="142" t="s">
        <v>41</v>
      </c>
      <c r="E53" s="204"/>
    </row>
    <row r="54" spans="1:6" x14ac:dyDescent="0.25">
      <c r="A54" s="140" t="s">
        <v>517</v>
      </c>
      <c r="B54" s="159" t="s">
        <v>608</v>
      </c>
      <c r="C54" s="119" t="s">
        <v>41</v>
      </c>
      <c r="E54" s="204"/>
    </row>
    <row r="55" spans="1:6" ht="60" x14ac:dyDescent="0.25">
      <c r="A55" s="140" t="s">
        <v>515</v>
      </c>
      <c r="B55" s="159" t="s">
        <v>608</v>
      </c>
      <c r="C55" s="119" t="s">
        <v>471</v>
      </c>
      <c r="D55" s="212" t="s">
        <v>516</v>
      </c>
      <c r="E55" s="204"/>
    </row>
    <row r="56" spans="1:6" ht="75" x14ac:dyDescent="0.25">
      <c r="A56" s="140" t="s">
        <v>521</v>
      </c>
      <c r="B56" s="119" t="s">
        <v>607</v>
      </c>
      <c r="C56" s="119" t="s">
        <v>472</v>
      </c>
      <c r="D56" s="154" t="s">
        <v>561</v>
      </c>
      <c r="E56" s="204"/>
      <c r="F56" s="155" t="s">
        <v>624</v>
      </c>
    </row>
    <row r="57" spans="1:6" x14ac:dyDescent="0.25">
      <c r="A57" s="140" t="s">
        <v>523</v>
      </c>
      <c r="B57" s="119" t="s">
        <v>607</v>
      </c>
      <c r="C57" s="119" t="s">
        <v>41</v>
      </c>
      <c r="E57" s="204"/>
    </row>
    <row r="58" spans="1:6" x14ac:dyDescent="0.25">
      <c r="A58" s="140" t="s">
        <v>524</v>
      </c>
      <c r="B58" s="119" t="s">
        <v>606</v>
      </c>
      <c r="C58" s="119" t="s">
        <v>41</v>
      </c>
      <c r="E58" s="204"/>
    </row>
    <row r="59" spans="1:6" ht="135" x14ac:dyDescent="0.25">
      <c r="A59" s="140" t="s">
        <v>525</v>
      </c>
      <c r="B59" s="150" t="s">
        <v>606</v>
      </c>
      <c r="C59" s="119" t="s">
        <v>472</v>
      </c>
      <c r="D59" s="154" t="s">
        <v>625</v>
      </c>
      <c r="E59" s="204"/>
      <c r="F59" s="153" t="s">
        <v>555</v>
      </c>
    </row>
    <row r="60" spans="1:6" x14ac:dyDescent="0.25">
      <c r="A60" s="140" t="s">
        <v>527</v>
      </c>
      <c r="B60" s="119" t="s">
        <v>606</v>
      </c>
      <c r="C60" s="119" t="s">
        <v>41</v>
      </c>
      <c r="E60" s="204"/>
    </row>
    <row r="61" spans="1:6" x14ac:dyDescent="0.25">
      <c r="A61" s="140" t="s">
        <v>530</v>
      </c>
      <c r="B61" s="150" t="s">
        <v>606</v>
      </c>
      <c r="C61" s="119" t="s">
        <v>41</v>
      </c>
      <c r="E61" s="160" t="s">
        <v>559</v>
      </c>
    </row>
    <row r="62" spans="1:6" x14ac:dyDescent="0.25">
      <c r="A62" s="140" t="s">
        <v>528</v>
      </c>
      <c r="B62" s="150" t="s">
        <v>606</v>
      </c>
      <c r="C62" s="119" t="s">
        <v>65</v>
      </c>
      <c r="E62"/>
    </row>
    <row r="63" spans="1:6" x14ac:dyDescent="0.25">
      <c r="A63" s="140" t="s">
        <v>529</v>
      </c>
      <c r="B63" s="150" t="s">
        <v>606</v>
      </c>
      <c r="C63" s="119" t="s">
        <v>65</v>
      </c>
      <c r="E63"/>
    </row>
    <row r="64" spans="1:6" ht="30" x14ac:dyDescent="0.25">
      <c r="A64" s="140" t="s">
        <v>531</v>
      </c>
      <c r="B64" s="150" t="s">
        <v>606</v>
      </c>
      <c r="C64" s="119" t="s">
        <v>41</v>
      </c>
      <c r="E64" s="152" t="s">
        <v>555</v>
      </c>
    </row>
    <row r="65" spans="1:6" x14ac:dyDescent="0.25">
      <c r="A65" s="140" t="s">
        <v>532</v>
      </c>
      <c r="B65" s="150" t="s">
        <v>606</v>
      </c>
      <c r="C65" s="119" t="s">
        <v>41</v>
      </c>
      <c r="E65" s="206" t="s">
        <v>559</v>
      </c>
    </row>
    <row r="66" spans="1:6" x14ac:dyDescent="0.25">
      <c r="A66" s="140" t="s">
        <v>532</v>
      </c>
      <c r="B66" s="119" t="s">
        <v>606</v>
      </c>
      <c r="C66" s="119" t="s">
        <v>41</v>
      </c>
      <c r="E66" s="207"/>
    </row>
    <row r="67" spans="1:6" ht="30" x14ac:dyDescent="0.25">
      <c r="A67" s="140" t="s">
        <v>533</v>
      </c>
      <c r="B67" s="144" t="s">
        <v>606</v>
      </c>
      <c r="C67" s="119" t="s">
        <v>41</v>
      </c>
      <c r="E67" s="204" t="s">
        <v>555</v>
      </c>
    </row>
    <row r="68" spans="1:6" ht="30" x14ac:dyDescent="0.25">
      <c r="A68" s="140" t="s">
        <v>533</v>
      </c>
      <c r="B68" s="119" t="s">
        <v>606</v>
      </c>
      <c r="C68" s="119" t="s">
        <v>41</v>
      </c>
      <c r="E68" s="204"/>
    </row>
    <row r="69" spans="1:6" x14ac:dyDescent="0.25">
      <c r="A69" s="140" t="s">
        <v>543</v>
      </c>
      <c r="B69" s="144" t="s">
        <v>607</v>
      </c>
      <c r="C69" s="119" t="s">
        <v>41</v>
      </c>
      <c r="E69" s="204"/>
    </row>
    <row r="70" spans="1:6" x14ac:dyDescent="0.25">
      <c r="A70" s="140" t="s">
        <v>544</v>
      </c>
      <c r="B70" s="159" t="s">
        <v>607</v>
      </c>
      <c r="C70" s="119" t="s">
        <v>41</v>
      </c>
      <c r="E70" s="204"/>
    </row>
    <row r="71" spans="1:6" x14ac:dyDescent="0.25">
      <c r="A71" s="140" t="s">
        <v>545</v>
      </c>
      <c r="B71" s="159" t="s">
        <v>607</v>
      </c>
      <c r="C71" s="119" t="s">
        <v>41</v>
      </c>
      <c r="E71" s="204"/>
    </row>
    <row r="72" spans="1:6" x14ac:dyDescent="0.25">
      <c r="A72" s="140" t="s">
        <v>546</v>
      </c>
      <c r="B72" s="159" t="s">
        <v>607</v>
      </c>
      <c r="C72" s="119" t="s">
        <v>41</v>
      </c>
      <c r="E72" s="204"/>
    </row>
    <row r="73" spans="1:6" ht="30" x14ac:dyDescent="0.25">
      <c r="A73" s="140" t="s">
        <v>547</v>
      </c>
      <c r="B73" s="159" t="s">
        <v>607</v>
      </c>
      <c r="C73" s="119" t="s">
        <v>41</v>
      </c>
      <c r="D73" s="151" t="s">
        <v>565</v>
      </c>
      <c r="E73" s="204"/>
    </row>
    <row r="74" spans="1:6" ht="60" x14ac:dyDescent="0.25">
      <c r="A74" s="140" t="s">
        <v>548</v>
      </c>
      <c r="B74" s="159" t="s">
        <v>607</v>
      </c>
      <c r="C74" s="119" t="s">
        <v>472</v>
      </c>
      <c r="D74" s="154" t="s">
        <v>610</v>
      </c>
      <c r="E74" s="204"/>
      <c r="F74" s="155">
        <v>42411</v>
      </c>
    </row>
    <row r="75" spans="1:6" x14ac:dyDescent="0.25">
      <c r="A75" s="140" t="s">
        <v>549</v>
      </c>
      <c r="B75" s="159" t="s">
        <v>607</v>
      </c>
      <c r="C75" s="119" t="s">
        <v>41</v>
      </c>
      <c r="E75" s="204" t="s">
        <v>555</v>
      </c>
    </row>
    <row r="76" spans="1:6" x14ac:dyDescent="0.25">
      <c r="A76" s="140" t="s">
        <v>550</v>
      </c>
      <c r="B76" s="159" t="s">
        <v>607</v>
      </c>
      <c r="C76" s="119" t="s">
        <v>41</v>
      </c>
      <c r="E76" s="204"/>
    </row>
    <row r="77" spans="1:6" x14ac:dyDescent="0.25">
      <c r="A77" s="140" t="s">
        <v>551</v>
      </c>
      <c r="B77" s="159" t="s">
        <v>607</v>
      </c>
      <c r="C77" s="119" t="s">
        <v>41</v>
      </c>
      <c r="E77" s="204"/>
    </row>
    <row r="78" spans="1:6" x14ac:dyDescent="0.25">
      <c r="A78" s="140" t="s">
        <v>552</v>
      </c>
      <c r="B78" s="159" t="s">
        <v>607</v>
      </c>
      <c r="C78" s="119" t="s">
        <v>41</v>
      </c>
      <c r="E78" s="204"/>
    </row>
    <row r="79" spans="1:6" ht="60" x14ac:dyDescent="0.25">
      <c r="A79" s="140" t="s">
        <v>553</v>
      </c>
      <c r="B79" s="159" t="s">
        <v>607</v>
      </c>
      <c r="C79" s="119" t="s">
        <v>472</v>
      </c>
      <c r="D79" s="154" t="s">
        <v>611</v>
      </c>
      <c r="E79" s="204"/>
      <c r="F79" s="205">
        <v>42411</v>
      </c>
    </row>
    <row r="80" spans="1:6" ht="90" x14ac:dyDescent="0.25">
      <c r="A80" s="140" t="s">
        <v>563</v>
      </c>
      <c r="B80" s="159" t="s">
        <v>606</v>
      </c>
      <c r="C80" s="148" t="s">
        <v>472</v>
      </c>
      <c r="D80" s="154" t="s">
        <v>566</v>
      </c>
      <c r="E80" s="198">
        <v>42380</v>
      </c>
      <c r="F80" s="205"/>
    </row>
    <row r="81" spans="1:6" ht="30" customHeight="1" x14ac:dyDescent="0.25">
      <c r="A81" s="140" t="s">
        <v>567</v>
      </c>
      <c r="B81" s="148" t="s">
        <v>607</v>
      </c>
      <c r="C81" s="148" t="s">
        <v>472</v>
      </c>
      <c r="D81" s="197" t="s">
        <v>569</v>
      </c>
      <c r="E81" s="198"/>
      <c r="F81" s="205"/>
    </row>
    <row r="82" spans="1:6" x14ac:dyDescent="0.25">
      <c r="A82" s="140" t="s">
        <v>568</v>
      </c>
      <c r="B82" s="159" t="s">
        <v>607</v>
      </c>
      <c r="C82" s="148" t="s">
        <v>472</v>
      </c>
      <c r="D82" s="197"/>
      <c r="E82" s="198"/>
      <c r="F82" s="205"/>
    </row>
    <row r="83" spans="1:6" ht="30" x14ac:dyDescent="0.25">
      <c r="A83" s="140" t="s">
        <v>570</v>
      </c>
      <c r="B83" s="150" t="s">
        <v>606</v>
      </c>
      <c r="C83" s="148" t="s">
        <v>41</v>
      </c>
      <c r="E83" s="198"/>
    </row>
    <row r="84" spans="1:6" ht="30" x14ac:dyDescent="0.25">
      <c r="A84" s="140" t="s">
        <v>571</v>
      </c>
      <c r="B84" s="150" t="s">
        <v>606</v>
      </c>
      <c r="C84" s="148" t="s">
        <v>41</v>
      </c>
      <c r="E84" s="198"/>
    </row>
    <row r="85" spans="1:6" x14ac:dyDescent="0.25">
      <c r="A85" s="140" t="s">
        <v>572</v>
      </c>
      <c r="B85" s="150" t="s">
        <v>606</v>
      </c>
      <c r="C85" s="148" t="s">
        <v>41</v>
      </c>
      <c r="E85" s="198"/>
    </row>
    <row r="86" spans="1:6" x14ac:dyDescent="0.25">
      <c r="A86" s="140" t="s">
        <v>573</v>
      </c>
      <c r="B86" s="150" t="s">
        <v>606</v>
      </c>
      <c r="C86" s="148" t="s">
        <v>41</v>
      </c>
      <c r="E86" s="198"/>
    </row>
    <row r="87" spans="1:6" ht="30" x14ac:dyDescent="0.25">
      <c r="A87" s="140" t="s">
        <v>557</v>
      </c>
      <c r="B87" s="150" t="s">
        <v>606</v>
      </c>
      <c r="C87" s="119" t="s">
        <v>41</v>
      </c>
      <c r="D87" s="151" t="s">
        <v>564</v>
      </c>
      <c r="E87" s="199" t="s">
        <v>559</v>
      </c>
      <c r="F87" s="153" t="s">
        <v>559</v>
      </c>
    </row>
    <row r="88" spans="1:6" ht="30" x14ac:dyDescent="0.25">
      <c r="A88" s="140" t="s">
        <v>558</v>
      </c>
      <c r="B88" s="150" t="s">
        <v>606</v>
      </c>
      <c r="C88" s="145" t="s">
        <v>471</v>
      </c>
      <c r="D88" s="149" t="s">
        <v>560</v>
      </c>
      <c r="E88" s="200"/>
    </row>
    <row r="89" spans="1:6" x14ac:dyDescent="0.25">
      <c r="A89" s="140" t="s">
        <v>562</v>
      </c>
      <c r="B89" s="150" t="s">
        <v>607</v>
      </c>
      <c r="C89" s="148" t="s">
        <v>41</v>
      </c>
      <c r="E89" s="198">
        <v>42380</v>
      </c>
    </row>
    <row r="90" spans="1:6" x14ac:dyDescent="0.25">
      <c r="A90" s="140" t="s">
        <v>579</v>
      </c>
      <c r="B90" s="150" t="s">
        <v>606</v>
      </c>
      <c r="C90" s="148" t="s">
        <v>41</v>
      </c>
      <c r="E90" s="198"/>
    </row>
    <row r="91" spans="1:6" x14ac:dyDescent="0.25">
      <c r="A91" s="140" t="s">
        <v>574</v>
      </c>
      <c r="B91" s="159" t="s">
        <v>607</v>
      </c>
      <c r="C91" s="119" t="s">
        <v>41</v>
      </c>
      <c r="E91" s="198"/>
    </row>
    <row r="92" spans="1:6" x14ac:dyDescent="0.25">
      <c r="A92" s="140" t="s">
        <v>582</v>
      </c>
      <c r="B92" s="159" t="s">
        <v>606</v>
      </c>
      <c r="C92" s="148" t="s">
        <v>41</v>
      </c>
      <c r="E92" s="198"/>
    </row>
    <row r="93" spans="1:6" ht="45" x14ac:dyDescent="0.25">
      <c r="A93" s="140" t="s">
        <v>580</v>
      </c>
      <c r="B93" s="150" t="s">
        <v>608</v>
      </c>
      <c r="C93" s="148" t="s">
        <v>472</v>
      </c>
      <c r="D93" s="154" t="s">
        <v>581</v>
      </c>
      <c r="E93" s="198"/>
      <c r="F93" s="156">
        <v>42411</v>
      </c>
    </row>
    <row r="94" spans="1:6" x14ac:dyDescent="0.25">
      <c r="A94" s="140" t="s">
        <v>575</v>
      </c>
      <c r="B94" s="150" t="s">
        <v>607</v>
      </c>
      <c r="C94" s="119" t="s">
        <v>41</v>
      </c>
      <c r="E94" s="198"/>
    </row>
    <row r="95" spans="1:6" x14ac:dyDescent="0.25">
      <c r="A95" s="140" t="s">
        <v>583</v>
      </c>
      <c r="B95" s="159" t="s">
        <v>606</v>
      </c>
      <c r="C95" s="148" t="s">
        <v>41</v>
      </c>
      <c r="E95" s="198"/>
    </row>
    <row r="96" spans="1:6" x14ac:dyDescent="0.25">
      <c r="A96" s="140" t="s">
        <v>576</v>
      </c>
      <c r="B96" s="159" t="s">
        <v>607</v>
      </c>
      <c r="C96" s="119" t="s">
        <v>41</v>
      </c>
      <c r="E96" s="198"/>
    </row>
    <row r="97" spans="1:6" x14ac:dyDescent="0.25">
      <c r="A97" s="140" t="s">
        <v>584</v>
      </c>
      <c r="B97" s="159" t="s">
        <v>606</v>
      </c>
      <c r="C97" s="148" t="s">
        <v>41</v>
      </c>
      <c r="E97" s="198"/>
    </row>
    <row r="98" spans="1:6" x14ac:dyDescent="0.25">
      <c r="A98" s="140" t="s">
        <v>577</v>
      </c>
      <c r="B98" s="159" t="s">
        <v>607</v>
      </c>
      <c r="C98" s="148" t="s">
        <v>41</v>
      </c>
      <c r="E98" s="198"/>
    </row>
    <row r="99" spans="1:6" x14ac:dyDescent="0.25">
      <c r="A99" s="140" t="s">
        <v>585</v>
      </c>
      <c r="B99" s="159" t="s">
        <v>606</v>
      </c>
      <c r="C99" s="148" t="s">
        <v>41</v>
      </c>
      <c r="E99" s="198"/>
    </row>
    <row r="100" spans="1:6" x14ac:dyDescent="0.25">
      <c r="A100" s="140" t="s">
        <v>578</v>
      </c>
      <c r="B100" s="159" t="s">
        <v>607</v>
      </c>
      <c r="C100" s="119" t="s">
        <v>41</v>
      </c>
      <c r="E100" s="198"/>
    </row>
    <row r="101" spans="1:6" x14ac:dyDescent="0.25">
      <c r="A101" s="140" t="s">
        <v>586</v>
      </c>
      <c r="B101" s="159" t="s">
        <v>606</v>
      </c>
      <c r="C101" s="119" t="s">
        <v>41</v>
      </c>
      <c r="E101" s="198"/>
    </row>
    <row r="102" spans="1:6" ht="105" x14ac:dyDescent="0.25">
      <c r="A102" s="140" t="s">
        <v>603</v>
      </c>
      <c r="B102" s="159" t="s">
        <v>606</v>
      </c>
      <c r="C102" s="119" t="s">
        <v>472</v>
      </c>
      <c r="D102" s="154" t="s">
        <v>614</v>
      </c>
      <c r="E102" s="198"/>
      <c r="F102" s="156">
        <v>42411</v>
      </c>
    </row>
    <row r="103" spans="1:6" x14ac:dyDescent="0.25">
      <c r="A103" s="140" t="s">
        <v>587</v>
      </c>
      <c r="B103" s="150" t="s">
        <v>607</v>
      </c>
      <c r="C103" s="119" t="s">
        <v>41</v>
      </c>
      <c r="E103" s="198"/>
    </row>
    <row r="104" spans="1:6" x14ac:dyDescent="0.25">
      <c r="A104" s="140" t="s">
        <v>591</v>
      </c>
      <c r="B104" s="159" t="s">
        <v>606</v>
      </c>
      <c r="C104" s="148" t="s">
        <v>41</v>
      </c>
      <c r="E104" s="198"/>
    </row>
    <row r="105" spans="1:6" x14ac:dyDescent="0.25">
      <c r="A105" s="140" t="s">
        <v>588</v>
      </c>
      <c r="B105" s="159" t="s">
        <v>607</v>
      </c>
      <c r="C105" s="148" t="s">
        <v>41</v>
      </c>
      <c r="E105" s="198"/>
    </row>
    <row r="106" spans="1:6" x14ac:dyDescent="0.25">
      <c r="A106" s="140" t="s">
        <v>590</v>
      </c>
      <c r="B106" s="159" t="s">
        <v>606</v>
      </c>
      <c r="C106" s="148" t="s">
        <v>41</v>
      </c>
      <c r="E106" s="198"/>
    </row>
    <row r="107" spans="1:6" x14ac:dyDescent="0.25">
      <c r="A107" s="140" t="s">
        <v>589</v>
      </c>
      <c r="B107" s="159" t="s">
        <v>607</v>
      </c>
      <c r="C107" s="119" t="s">
        <v>41</v>
      </c>
      <c r="E107" s="198"/>
    </row>
    <row r="108" spans="1:6" x14ac:dyDescent="0.25">
      <c r="A108" s="140" t="s">
        <v>592</v>
      </c>
      <c r="B108" s="159" t="s">
        <v>606</v>
      </c>
      <c r="C108" s="119" t="s">
        <v>41</v>
      </c>
      <c r="E108" s="198"/>
    </row>
    <row r="109" spans="1:6" x14ac:dyDescent="0.25">
      <c r="A109" s="140" t="s">
        <v>594</v>
      </c>
      <c r="B109" s="159" t="s">
        <v>607</v>
      </c>
      <c r="C109" s="148" t="s">
        <v>41</v>
      </c>
      <c r="E109" s="198"/>
    </row>
    <row r="110" spans="1:6" x14ac:dyDescent="0.25">
      <c r="A110" s="140" t="s">
        <v>595</v>
      </c>
      <c r="B110" s="159" t="s">
        <v>606</v>
      </c>
      <c r="C110" s="119" t="s">
        <v>41</v>
      </c>
      <c r="E110" s="198"/>
    </row>
    <row r="111" spans="1:6" x14ac:dyDescent="0.25">
      <c r="A111" s="140" t="s">
        <v>596</v>
      </c>
      <c r="B111" s="159" t="s">
        <v>607</v>
      </c>
      <c r="C111" s="119" t="s">
        <v>41</v>
      </c>
      <c r="E111" s="198"/>
    </row>
    <row r="112" spans="1:6" x14ac:dyDescent="0.25">
      <c r="A112" s="140" t="s">
        <v>597</v>
      </c>
      <c r="B112" s="159" t="s">
        <v>606</v>
      </c>
      <c r="C112" s="119" t="s">
        <v>41</v>
      </c>
      <c r="E112" s="198"/>
    </row>
    <row r="113" spans="1:6" x14ac:dyDescent="0.25">
      <c r="A113" s="140" t="s">
        <v>598</v>
      </c>
      <c r="B113" s="159" t="s">
        <v>607</v>
      </c>
      <c r="C113" s="119" t="s">
        <v>41</v>
      </c>
      <c r="E113" s="198"/>
    </row>
    <row r="114" spans="1:6" x14ac:dyDescent="0.25">
      <c r="A114" s="140" t="s">
        <v>599</v>
      </c>
      <c r="B114" s="159" t="s">
        <v>606</v>
      </c>
      <c r="C114" s="119" t="s">
        <v>41</v>
      </c>
      <c r="E114" s="198"/>
    </row>
    <row r="115" spans="1:6" x14ac:dyDescent="0.25">
      <c r="A115" s="140" t="s">
        <v>600</v>
      </c>
      <c r="B115" s="159" t="s">
        <v>606</v>
      </c>
      <c r="C115" s="119" t="s">
        <v>472</v>
      </c>
      <c r="D115" s="197" t="s">
        <v>626</v>
      </c>
      <c r="E115" s="201"/>
      <c r="F115" s="205">
        <v>42411</v>
      </c>
    </row>
    <row r="116" spans="1:6" ht="81" customHeight="1" x14ac:dyDescent="0.25">
      <c r="A116" s="140" t="s">
        <v>601</v>
      </c>
      <c r="B116" s="159" t="s">
        <v>608</v>
      </c>
      <c r="C116" s="119" t="s">
        <v>472</v>
      </c>
      <c r="D116" s="197"/>
      <c r="E116" s="201"/>
      <c r="F116" s="205"/>
    </row>
    <row r="117" spans="1:6" ht="60" x14ac:dyDescent="0.25">
      <c r="A117" s="140" t="s">
        <v>602</v>
      </c>
      <c r="B117" s="150" t="s">
        <v>606</v>
      </c>
      <c r="C117" s="157" t="s">
        <v>472</v>
      </c>
      <c r="D117" s="149" t="s">
        <v>604</v>
      </c>
      <c r="E117" s="201"/>
      <c r="F117" s="205"/>
    </row>
    <row r="118" spans="1:6" ht="45" x14ac:dyDescent="0.25">
      <c r="A118" s="140" t="s">
        <v>605</v>
      </c>
      <c r="B118" s="157" t="s">
        <v>606</v>
      </c>
      <c r="C118" s="157" t="s">
        <v>472</v>
      </c>
      <c r="D118" s="162" t="s">
        <v>609</v>
      </c>
      <c r="E118" s="201"/>
      <c r="F118" s="205"/>
    </row>
    <row r="119" spans="1:6" ht="30" x14ac:dyDescent="0.25">
      <c r="A119" s="140" t="s">
        <v>612</v>
      </c>
      <c r="B119" s="157" t="s">
        <v>606</v>
      </c>
      <c r="C119" s="157" t="s">
        <v>472</v>
      </c>
      <c r="D119" s="162" t="s">
        <v>613</v>
      </c>
      <c r="E119" s="198">
        <v>42411</v>
      </c>
      <c r="F119" s="208"/>
    </row>
    <row r="120" spans="1:6" ht="30" x14ac:dyDescent="0.25">
      <c r="A120" s="140" t="s">
        <v>627</v>
      </c>
      <c r="B120" s="157" t="s">
        <v>608</v>
      </c>
      <c r="C120" s="119" t="s">
        <v>471</v>
      </c>
      <c r="D120" s="149" t="s">
        <v>628</v>
      </c>
      <c r="E120" s="198"/>
    </row>
    <row r="121" spans="1:6" ht="45" x14ac:dyDescent="0.25">
      <c r="A121" s="140" t="s">
        <v>633</v>
      </c>
      <c r="B121" s="157" t="s">
        <v>607</v>
      </c>
      <c r="C121" s="119" t="s">
        <v>471</v>
      </c>
      <c r="D121" s="149" t="s">
        <v>629</v>
      </c>
      <c r="E121" s="198"/>
    </row>
    <row r="122" spans="1:6" ht="45" x14ac:dyDescent="0.25">
      <c r="A122" s="140" t="s">
        <v>630</v>
      </c>
      <c r="B122" s="157" t="s">
        <v>608</v>
      </c>
      <c r="C122" s="119" t="s">
        <v>472</v>
      </c>
      <c r="D122" s="149" t="s">
        <v>631</v>
      </c>
      <c r="E122" s="198"/>
      <c r="F122" s="156">
        <v>42411</v>
      </c>
    </row>
    <row r="123" spans="1:6" ht="45" x14ac:dyDescent="0.25">
      <c r="A123" s="140" t="s">
        <v>632</v>
      </c>
      <c r="B123" s="157" t="s">
        <v>608</v>
      </c>
      <c r="C123" s="157" t="s">
        <v>471</v>
      </c>
      <c r="D123" s="158" t="s">
        <v>634</v>
      </c>
      <c r="E123" s="198"/>
    </row>
    <row r="124" spans="1:6" ht="60" x14ac:dyDescent="0.25">
      <c r="A124" s="140" t="s">
        <v>635</v>
      </c>
      <c r="B124" s="157" t="s">
        <v>608</v>
      </c>
      <c r="C124" s="119" t="s">
        <v>471</v>
      </c>
      <c r="D124" s="149" t="s">
        <v>636</v>
      </c>
      <c r="E124" s="198"/>
    </row>
    <row r="125" spans="1:6" x14ac:dyDescent="0.25">
      <c r="A125" s="140" t="s">
        <v>637</v>
      </c>
      <c r="B125" s="159" t="s">
        <v>607</v>
      </c>
      <c r="C125" s="119" t="s">
        <v>41</v>
      </c>
      <c r="E125" s="198"/>
    </row>
    <row r="126" spans="1:6" x14ac:dyDescent="0.25">
      <c r="A126" s="140" t="s">
        <v>638</v>
      </c>
      <c r="B126" s="119" t="s">
        <v>606</v>
      </c>
      <c r="C126" s="159" t="s">
        <v>41</v>
      </c>
      <c r="E126" s="198"/>
    </row>
    <row r="127" spans="1:6" x14ac:dyDescent="0.25">
      <c r="A127" s="140" t="s">
        <v>639</v>
      </c>
      <c r="B127" s="159" t="s">
        <v>607</v>
      </c>
      <c r="C127" s="119" t="s">
        <v>41</v>
      </c>
      <c r="E127" s="198"/>
    </row>
    <row r="128" spans="1:6" x14ac:dyDescent="0.25">
      <c r="A128" s="140" t="s">
        <v>640</v>
      </c>
      <c r="B128" s="159" t="s">
        <v>606</v>
      </c>
      <c r="C128" s="119" t="s">
        <v>41</v>
      </c>
      <c r="E128" s="198"/>
    </row>
    <row r="129" spans="1:5" ht="15" customHeight="1" x14ac:dyDescent="0.25">
      <c r="A129" s="140" t="s">
        <v>641</v>
      </c>
      <c r="B129" s="159" t="s">
        <v>607</v>
      </c>
      <c r="C129" s="159" t="s">
        <v>471</v>
      </c>
      <c r="D129" s="178" t="s">
        <v>649</v>
      </c>
      <c r="E129" s="198"/>
    </row>
    <row r="130" spans="1:5" ht="15" customHeight="1" x14ac:dyDescent="0.25">
      <c r="A130" s="140" t="s">
        <v>642</v>
      </c>
      <c r="B130" s="159" t="s">
        <v>606</v>
      </c>
      <c r="C130" s="159" t="s">
        <v>471</v>
      </c>
      <c r="D130" s="178"/>
      <c r="E130" s="198"/>
    </row>
    <row r="131" spans="1:5" ht="31.5" customHeight="1" x14ac:dyDescent="0.25">
      <c r="A131" s="140" t="s">
        <v>644</v>
      </c>
      <c r="B131" s="159" t="s">
        <v>607</v>
      </c>
      <c r="C131" s="159" t="s">
        <v>471</v>
      </c>
      <c r="D131" s="178"/>
      <c r="E131" s="198"/>
    </row>
    <row r="132" spans="1:5" ht="45" customHeight="1" x14ac:dyDescent="0.25">
      <c r="A132" s="140" t="s">
        <v>643</v>
      </c>
      <c r="B132" s="159" t="s">
        <v>606</v>
      </c>
      <c r="C132" s="159" t="s">
        <v>471</v>
      </c>
      <c r="D132" s="178"/>
      <c r="E132" s="198"/>
    </row>
    <row r="133" spans="1:5" x14ac:dyDescent="0.25">
      <c r="A133" s="140" t="s">
        <v>645</v>
      </c>
      <c r="B133" s="159" t="s">
        <v>607</v>
      </c>
      <c r="C133" s="159" t="s">
        <v>471</v>
      </c>
      <c r="D133" s="178"/>
      <c r="E133" s="198"/>
    </row>
    <row r="134" spans="1:5" x14ac:dyDescent="0.25">
      <c r="A134" s="140" t="s">
        <v>646</v>
      </c>
      <c r="B134" s="159" t="s">
        <v>606</v>
      </c>
      <c r="C134" s="159" t="s">
        <v>41</v>
      </c>
      <c r="E134" s="198"/>
    </row>
    <row r="135" spans="1:5" x14ac:dyDescent="0.25">
      <c r="A135" s="140" t="s">
        <v>647</v>
      </c>
      <c r="B135" s="159" t="s">
        <v>607</v>
      </c>
      <c r="C135" s="159" t="s">
        <v>41</v>
      </c>
      <c r="E135" s="198"/>
    </row>
    <row r="136" spans="1:5" x14ac:dyDescent="0.25">
      <c r="A136" s="140" t="s">
        <v>652</v>
      </c>
      <c r="B136" s="159" t="s">
        <v>606</v>
      </c>
      <c r="C136" s="159" t="s">
        <v>471</v>
      </c>
      <c r="D136" s="178" t="s">
        <v>654</v>
      </c>
      <c r="E136" s="198"/>
    </row>
    <row r="137" spans="1:5" ht="31.5" customHeight="1" x14ac:dyDescent="0.25">
      <c r="A137" s="140" t="s">
        <v>653</v>
      </c>
      <c r="B137" s="159" t="s">
        <v>607</v>
      </c>
      <c r="C137" s="159" t="s">
        <v>471</v>
      </c>
      <c r="D137" s="178"/>
      <c r="E137" s="198"/>
    </row>
    <row r="138" spans="1:5" ht="30" x14ac:dyDescent="0.25">
      <c r="A138" s="140" t="s">
        <v>651</v>
      </c>
      <c r="B138" s="119" t="s">
        <v>606</v>
      </c>
      <c r="C138" s="119" t="s">
        <v>41</v>
      </c>
      <c r="E138" s="198"/>
    </row>
    <row r="139" spans="1:5" x14ac:dyDescent="0.25">
      <c r="A139" s="140" t="s">
        <v>648</v>
      </c>
      <c r="B139" s="159" t="s">
        <v>606</v>
      </c>
      <c r="C139" s="119" t="s">
        <v>41</v>
      </c>
      <c r="E139" s="198"/>
    </row>
    <row r="140" spans="1:5" ht="30" x14ac:dyDescent="0.25">
      <c r="A140" s="140" t="s">
        <v>655</v>
      </c>
      <c r="B140" s="159" t="s">
        <v>606</v>
      </c>
      <c r="C140" s="119" t="s">
        <v>41</v>
      </c>
      <c r="E140" s="198"/>
    </row>
    <row r="141" spans="1:5" x14ac:dyDescent="0.25">
      <c r="A141" s="140" t="s">
        <v>656</v>
      </c>
      <c r="B141" s="119" t="s">
        <v>607</v>
      </c>
      <c r="C141" s="119" t="s">
        <v>65</v>
      </c>
      <c r="E141" s="198"/>
    </row>
    <row r="142" spans="1:5" x14ac:dyDescent="0.25">
      <c r="A142" s="140" t="s">
        <v>657</v>
      </c>
      <c r="B142" s="119" t="s">
        <v>606</v>
      </c>
      <c r="C142" s="159" t="s">
        <v>65</v>
      </c>
      <c r="E142" s="198"/>
    </row>
    <row r="143" spans="1:5" ht="75" x14ac:dyDescent="0.25">
      <c r="A143" s="140" t="s">
        <v>658</v>
      </c>
      <c r="B143" s="119" t="s">
        <v>607</v>
      </c>
      <c r="C143" s="119" t="s">
        <v>471</v>
      </c>
      <c r="D143" s="212" t="s">
        <v>664</v>
      </c>
      <c r="E143" s="198"/>
    </row>
    <row r="144" spans="1:5" ht="60" x14ac:dyDescent="0.25">
      <c r="A144" s="140" t="s">
        <v>663</v>
      </c>
      <c r="B144" s="159" t="s">
        <v>607</v>
      </c>
      <c r="C144" s="159" t="s">
        <v>471</v>
      </c>
      <c r="D144" s="212" t="s">
        <v>665</v>
      </c>
      <c r="E144" s="198"/>
    </row>
    <row r="145" spans="1:6" ht="45" x14ac:dyDescent="0.25">
      <c r="A145" s="140" t="s">
        <v>659</v>
      </c>
      <c r="B145" s="159" t="s">
        <v>606</v>
      </c>
      <c r="C145" s="119" t="s">
        <v>472</v>
      </c>
      <c r="D145" s="162" t="s">
        <v>660</v>
      </c>
      <c r="E145" s="198"/>
      <c r="F145" s="210">
        <v>42411</v>
      </c>
    </row>
    <row r="146" spans="1:6" ht="45" x14ac:dyDescent="0.25">
      <c r="A146" s="140" t="s">
        <v>661</v>
      </c>
      <c r="B146" s="159" t="s">
        <v>606</v>
      </c>
      <c r="C146" s="119" t="s">
        <v>472</v>
      </c>
      <c r="D146" s="162" t="s">
        <v>662</v>
      </c>
      <c r="E146" s="198"/>
      <c r="F146" s="211"/>
    </row>
  </sheetData>
  <mergeCells count="18">
    <mergeCell ref="F115:F119"/>
    <mergeCell ref="E75:E79"/>
    <mergeCell ref="F4:F5"/>
    <mergeCell ref="F9:F10"/>
    <mergeCell ref="E119:E146"/>
    <mergeCell ref="F145:F146"/>
    <mergeCell ref="H2:I3"/>
    <mergeCell ref="E2:E60"/>
    <mergeCell ref="E67:E74"/>
    <mergeCell ref="F79:F82"/>
    <mergeCell ref="E65:E66"/>
    <mergeCell ref="D129:D133"/>
    <mergeCell ref="D136:D137"/>
    <mergeCell ref="D81:D82"/>
    <mergeCell ref="E80:E86"/>
    <mergeCell ref="E87:E88"/>
    <mergeCell ref="D115:D116"/>
    <mergeCell ref="E89:E118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2016-11-02T12:26:54Z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