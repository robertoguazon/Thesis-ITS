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filterPrivacy="1"/>
  <bookViews>
    <workbookView xWindow="240" yWindow="105" windowWidth="14805" windowHeight="8010" firstSheet="1" activeTab="5"/>
  </bookViews>
  <sheets>
    <sheet name="Information" sheetId="1" r:id="rId1"/>
    <sheet name="Models" sheetId="3" r:id="rId2"/>
    <sheet name="Summary Plan" sheetId="6" r:id="rId3"/>
    <sheet name="Planning" sheetId="4" r:id="rId4"/>
    <sheet name="Checklist" sheetId="5" r:id="rId5"/>
    <sheet name="Testing" sheetId="7" r:id="rId6"/>
    <sheet name="Testing_for thesis paper" sheetId="8" r:id="rId7"/>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52511"/>
</workbook>
</file>

<file path=xl/calcChain.xml><?xml version="1.0" encoding="utf-8"?>
<calcChain xmlns="http://schemas.openxmlformats.org/spreadsheetml/2006/main">
  <c r="O6" i="6" l="1"/>
  <c r="O5" i="6"/>
  <c r="O4" i="6"/>
  <c r="O7" i="6" l="1"/>
  <c r="P6" i="6" s="1"/>
  <c r="S8" i="6"/>
  <c r="S7" i="6"/>
  <c r="P4" i="6" l="1"/>
  <c r="P5" i="6"/>
  <c r="S6" i="6"/>
  <c r="S5" i="6"/>
  <c r="S4" i="6"/>
  <c r="I4" i="6"/>
  <c r="S9" i="6" l="1"/>
  <c r="T5" i="6" s="1"/>
  <c r="B4" i="6"/>
  <c r="B5" i="6"/>
  <c r="T4" i="6" l="1"/>
  <c r="T6" i="6"/>
  <c r="T7" i="6"/>
  <c r="T8" i="6"/>
  <c r="I6" i="6"/>
  <c r="I7" i="6"/>
  <c r="I5" i="6"/>
  <c r="B6" i="6"/>
  <c r="I8" i="6" l="1"/>
  <c r="J6" i="6" s="1"/>
  <c r="B7" i="6"/>
  <c r="C6" i="6" s="1"/>
  <c r="J5" i="6" l="1"/>
  <c r="J7" i="6"/>
  <c r="J4" i="6"/>
  <c r="C5" i="6"/>
  <c r="C4" i="6"/>
</calcChain>
</file>

<file path=xl/sharedStrings.xml><?xml version="1.0" encoding="utf-8"?>
<sst xmlns="http://schemas.openxmlformats.org/spreadsheetml/2006/main" count="1955" uniqueCount="960">
  <si>
    <t>Thesis ITS</t>
  </si>
  <si>
    <t>Lesson</t>
  </si>
  <si>
    <t>Extends</t>
  </si>
  <si>
    <t>Implements</t>
  </si>
  <si>
    <t>Class</t>
  </si>
  <si>
    <t>Package</t>
  </si>
  <si>
    <t>N/A</t>
  </si>
  <si>
    <t>Serializable</t>
  </si>
  <si>
    <t>Fields</t>
  </si>
  <si>
    <t>Level</t>
  </si>
  <si>
    <t>TextLesson</t>
  </si>
  <si>
    <t>com.westlyf.domain.lesson</t>
  </si>
  <si>
    <t>VideoLesson</t>
  </si>
  <si>
    <t>Module</t>
  </si>
  <si>
    <t>QuizExercise</t>
  </si>
  <si>
    <t>com.westlyf.domain.exercise.quiz</t>
  </si>
  <si>
    <t>Exercise</t>
  </si>
  <si>
    <t>com.westlyf.domain.exercise</t>
  </si>
  <si>
    <t>QuizItem</t>
  </si>
  <si>
    <t>QuizType (enum)</t>
  </si>
  <si>
    <t>CHECKBOX
RADIOBUTTON</t>
  </si>
  <si>
    <t>Outline</t>
  </si>
  <si>
    <t>database</t>
  </si>
  <si>
    <t>registration</t>
  </si>
  <si>
    <t>account</t>
  </si>
  <si>
    <t>login</t>
  </si>
  <si>
    <t>profile</t>
  </si>
  <si>
    <t>levels</t>
  </si>
  <si>
    <t>lessons</t>
  </si>
  <si>
    <t>exercises</t>
  </si>
  <si>
    <t>exams</t>
  </si>
  <si>
    <t>text</t>
  </si>
  <si>
    <t>video</t>
  </si>
  <si>
    <t>quizzes</t>
  </si>
  <si>
    <t>practical</t>
  </si>
  <si>
    <t>diagnostics</t>
  </si>
  <si>
    <t>data</t>
  </si>
  <si>
    <t>progress</t>
  </si>
  <si>
    <t>GUI</t>
  </si>
  <si>
    <t>model</t>
  </si>
  <si>
    <t>Finished</t>
  </si>
  <si>
    <t>Not Finished</t>
  </si>
  <si>
    <t>May not implement</t>
  </si>
  <si>
    <t>Legend:</t>
  </si>
  <si>
    <t>Computation</t>
  </si>
  <si>
    <t>user model</t>
  </si>
  <si>
    <t>Analytics</t>
  </si>
  <si>
    <t>Database</t>
  </si>
  <si>
    <t>FacialExpressionRecognition</t>
  </si>
  <si>
    <t>RunTimeCompilation</t>
  </si>
  <si>
    <t>UserInterFaces</t>
  </si>
  <si>
    <t>VideoPlayer</t>
  </si>
  <si>
    <t>7/23/16</t>
  </si>
  <si>
    <t>Date planned</t>
  </si>
  <si>
    <t>*fix quiz maker controller - add lists to catch textareas
*for creating quizzes
*make sample</t>
  </si>
  <si>
    <t>*fix tag-matcher</t>
  </si>
  <si>
    <t>Tasks</t>
  </si>
  <si>
    <t>Date Finished</t>
  </si>
  <si>
    <t>7/24/16</t>
  </si>
  <si>
    <t>Status</t>
  </si>
  <si>
    <t>Completed</t>
  </si>
  <si>
    <t>* questionTextAreas</t>
  </si>
  <si>
    <t>* choices - toggleGroup (for radio buttons)</t>
  </si>
  <si>
    <t>* choices - checkboxes</t>
  </si>
  <si>
    <t>Not Started</t>
  </si>
  <si>
    <t>* make an ItemGUI model - for holding gui inputs</t>
  </si>
  <si>
    <t>* make a QuizGUI model - for holding gui inputs</t>
  </si>
  <si>
    <t>Checklist!A3</t>
  </si>
  <si>
    <t>Link to Checklist</t>
  </si>
  <si>
    <t>Link to planning</t>
  </si>
  <si>
    <t>Planning!I3</t>
  </si>
  <si>
    <t>* quizTypeGroup</t>
  </si>
  <si>
    <t>* export to QuizExercise</t>
  </si>
  <si>
    <t>* fix tag matcher - problem matching</t>
  </si>
  <si>
    <t>Make arraylists for the quiz maker controller. Add models for GUI holders. And, fix tag.</t>
  </si>
  <si>
    <t>QuizGUI</t>
  </si>
  <si>
    <t>ItemGUI</t>
  </si>
  <si>
    <t>com.westlyf.domain.exercise.quiz.gui</t>
  </si>
  <si>
    <r>
      <rPr>
        <sz val="11"/>
        <color rgb="FF00B050"/>
        <rFont val="Calibri"/>
        <family val="2"/>
        <scheme val="minor"/>
      </rPr>
      <t>StringProperty</t>
    </r>
    <r>
      <rPr>
        <sz val="11"/>
        <color theme="1"/>
        <rFont val="Calibri"/>
        <family val="2"/>
        <scheme val="minor"/>
      </rPr>
      <t xml:space="preserve"> text</t>
    </r>
  </si>
  <si>
    <r>
      <rPr>
        <sz val="11"/>
        <color rgb="FF00B050"/>
        <rFont val="Calibri"/>
        <family val="2"/>
        <scheme val="minor"/>
      </rPr>
      <t>StringProperty</t>
    </r>
    <r>
      <rPr>
        <sz val="11"/>
        <color theme="1"/>
        <rFont val="Calibri"/>
        <family val="2"/>
        <scheme val="minor"/>
      </rPr>
      <t xml:space="preserve"> pathLocation</t>
    </r>
  </si>
  <si>
    <r>
      <rPr>
        <sz val="11"/>
        <color rgb="FF00B050"/>
        <rFont val="Calibri"/>
        <family val="2"/>
        <scheme val="minor"/>
      </rPr>
      <t>TextArea</t>
    </r>
    <r>
      <rPr>
        <sz val="11"/>
        <color theme="1"/>
        <rFont val="Calibri"/>
        <family val="2"/>
        <scheme val="minor"/>
      </rPr>
      <t xml:space="preserve"> question
</t>
    </r>
    <r>
      <rPr>
        <sz val="11"/>
        <color rgb="FF00B050"/>
        <rFont val="Calibri"/>
        <family val="2"/>
        <scheme val="minor"/>
      </rPr>
      <t>QuizType</t>
    </r>
    <r>
      <rPr>
        <sz val="11"/>
        <color theme="1"/>
        <rFont val="Calibri"/>
        <family val="2"/>
        <scheme val="minor"/>
      </rPr>
      <t xml:space="preserve"> quizType
</t>
    </r>
    <r>
      <rPr>
        <sz val="11"/>
        <color rgb="FF00B050"/>
        <rFont val="Calibri"/>
        <family val="2"/>
        <scheme val="minor"/>
      </rPr>
      <t>ArrayList&lt;CheckBox&gt;</t>
    </r>
    <r>
      <rPr>
        <sz val="11"/>
        <color theme="1"/>
        <rFont val="Calibri"/>
        <family val="2"/>
        <scheme val="minor"/>
      </rPr>
      <t xml:space="preserve"> checkBoxChoices
</t>
    </r>
    <r>
      <rPr>
        <sz val="11"/>
        <color rgb="FF00B050"/>
        <rFont val="Calibri"/>
        <family val="2"/>
        <scheme val="minor"/>
      </rPr>
      <t>ToggleGroup</t>
    </r>
    <r>
      <rPr>
        <sz val="11"/>
        <color theme="1"/>
        <rFont val="Calibri"/>
        <family val="2"/>
        <scheme val="minor"/>
      </rPr>
      <t xml:space="preserve"> choicesToggleGroup
</t>
    </r>
    <r>
      <rPr>
        <sz val="11"/>
        <color rgb="FF00B050"/>
        <rFont val="Calibri"/>
        <family val="2"/>
        <scheme val="minor"/>
      </rPr>
      <t>ArrayList&lt;TextField&gt;</t>
    </r>
    <r>
      <rPr>
        <sz val="11"/>
        <color theme="1"/>
        <rFont val="Calibri"/>
        <family val="2"/>
        <scheme val="minor"/>
      </rPr>
      <t xml:space="preserve"> answers
</t>
    </r>
    <r>
      <rPr>
        <sz val="11"/>
        <color rgb="FF00B050"/>
        <rFont val="Calibri"/>
        <family val="2"/>
        <scheme val="minor"/>
      </rPr>
      <t>ArrayList&lt;TextField&gt;</t>
    </r>
    <r>
      <rPr>
        <sz val="11"/>
        <color theme="1"/>
        <rFont val="Calibri"/>
        <family val="2"/>
        <scheme val="minor"/>
      </rPr>
      <t xml:space="preserve"> choices</t>
    </r>
  </si>
  <si>
    <t>Mark</t>
  </si>
  <si>
    <t>No</t>
  </si>
  <si>
    <t>Date Planned</t>
  </si>
  <si>
    <t>Planning!I4</t>
  </si>
  <si>
    <t>Date finished</t>
  </si>
  <si>
    <t>*make runtime sample for classes, methods, statements using JavaCompiler</t>
  </si>
  <si>
    <t>7/25/16</t>
  </si>
  <si>
    <t>* fix points calculation in QuizItem</t>
  </si>
  <si>
    <t>* fix quizmaker error - handle if no answer is picked. Create alert box.</t>
  </si>
  <si>
    <t>Planning!I5</t>
  </si>
  <si>
    <t>* make runtime compilation sample - JavaCompiler</t>
  </si>
  <si>
    <t>Checklist!A12</t>
  </si>
  <si>
    <t>Checklist!A14</t>
  </si>
  <si>
    <t>Yes</t>
  </si>
  <si>
    <t>*QuizExcercise gui for answering quizzes</t>
  </si>
  <si>
    <t>* QuizExcercise gui for answering quizzes</t>
  </si>
  <si>
    <t>*LessonMaker -creates lesson dynamically for videos, textlessons, other kinds?
* added title variable to lesson</t>
  </si>
  <si>
    <r>
      <rPr>
        <sz val="11"/>
        <color rgb="FF00B050"/>
        <rFont val="Calibri"/>
        <family val="2"/>
        <scheme val="minor"/>
      </rPr>
      <t>TextField</t>
    </r>
    <r>
      <rPr>
        <sz val="11"/>
        <rFont val="Calibri"/>
        <family val="2"/>
        <scheme val="minor"/>
      </rPr>
      <t xml:space="preserve"> title
</t>
    </r>
    <r>
      <rPr>
        <sz val="11"/>
        <color rgb="FF00B050"/>
        <rFont val="Calibri"/>
        <family val="2"/>
        <scheme val="minor"/>
      </rPr>
      <t>ArrayList&lt;TextField&gt;</t>
    </r>
    <r>
      <rPr>
        <sz val="11"/>
        <rFont val="Calibri"/>
        <family val="2"/>
        <scheme val="minor"/>
      </rPr>
      <t xml:space="preserve"> tags
</t>
    </r>
    <r>
      <rPr>
        <sz val="11"/>
        <color rgb="FF00B050"/>
        <rFont val="Calibri"/>
        <family val="2"/>
        <scheme val="minor"/>
      </rPr>
      <t>ArrayList&lt;ItemGUI&gt;</t>
    </r>
    <r>
      <rPr>
        <sz val="11"/>
        <rFont val="Calibri"/>
        <family val="2"/>
        <scheme val="minor"/>
      </rPr>
      <t xml:space="preserve"> items</t>
    </r>
  </si>
  <si>
    <t>7/26/16</t>
  </si>
  <si>
    <t>Facial expression recognition - opencv webcam test</t>
  </si>
  <si>
    <t>Planning!I6</t>
  </si>
  <si>
    <t>Checklist!A17</t>
  </si>
  <si>
    <t>Others</t>
  </si>
  <si>
    <t>*check out DataFX</t>
  </si>
  <si>
    <t>*QuizDisplay - for answering quizzes</t>
  </si>
  <si>
    <t>Some</t>
  </si>
  <si>
    <t>*opencv webcam test
*opencv face detection test</t>
  </si>
  <si>
    <t>*opencv facial features detection test</t>
  </si>
  <si>
    <t>7/27/16</t>
  </si>
  <si>
    <t>* QuizDisplay for displaying and answering quizzes</t>
  </si>
  <si>
    <t>* opencv facial features detection test</t>
  </si>
  <si>
    <t>* check out DataFX</t>
  </si>
  <si>
    <t>Planning!J7</t>
  </si>
  <si>
    <t>Checklist!A18</t>
  </si>
  <si>
    <t>7/28/16</t>
  </si>
  <si>
    <t>Summary Planning</t>
  </si>
  <si>
    <t>Count</t>
  </si>
  <si>
    <t>Percent</t>
  </si>
  <si>
    <t>Total</t>
  </si>
  <si>
    <t>Working</t>
  </si>
  <si>
    <t>Summary Checklist</t>
  </si>
  <si>
    <t>Fixing</t>
  </si>
  <si>
    <t>Data</t>
  </si>
  <si>
    <t>* LessonMakerController  -creates lesson dynamically. Binding gui to lesson.</t>
  </si>
  <si>
    <t>7/29/16</t>
  </si>
  <si>
    <t>* fix GUI holder. Bind quiz to properties</t>
  </si>
  <si>
    <t>* remove GUI holders for exercises or quizzes</t>
  </si>
  <si>
    <t>* fix gui holder for quizzes. Just bind the gui to quiz properties. Make use of properties.
* remove GUI holders for exercises or quizzes</t>
  </si>
  <si>
    <t>Planning!J8</t>
  </si>
  <si>
    <t>Checklist!A21</t>
  </si>
  <si>
    <t>7/30/16</t>
  </si>
  <si>
    <t>* convert some properties to StringProperty. Make use of bind method</t>
  </si>
  <si>
    <t>* Lesson: String -&gt; StringProperty</t>
  </si>
  <si>
    <t>* Exercise: String -&gt; StringProperty</t>
  </si>
  <si>
    <t>Planning!J9</t>
  </si>
  <si>
    <t>Checklist!A23</t>
  </si>
  <si>
    <t>* fix together with the properties of lesson modules.
* lesson and level class: String -&gt; StringProperty</t>
  </si>
  <si>
    <t>* Level: String -&gt; StringProperty</t>
  </si>
  <si>
    <r>
      <rPr>
        <sz val="11"/>
        <color rgb="FF00B050"/>
        <rFont val="Calibri"/>
        <family val="2"/>
        <scheme val="minor"/>
      </rPr>
      <t>ArrayList&lt;StringProperty&gt;</t>
    </r>
    <r>
      <rPr>
        <sz val="11"/>
        <color theme="1"/>
        <rFont val="Calibri"/>
        <family val="2"/>
        <scheme val="minor"/>
      </rPr>
      <t xml:space="preserve"> tags
</t>
    </r>
    <r>
      <rPr>
        <sz val="11"/>
        <color rgb="FF00B050"/>
        <rFont val="Calibri"/>
        <family val="2"/>
        <scheme val="minor"/>
      </rPr>
      <t>String</t>
    </r>
    <r>
      <rPr>
        <sz val="11"/>
        <color theme="1"/>
        <rFont val="Calibri"/>
        <family val="2"/>
        <scheme val="minor"/>
      </rPr>
      <t xml:space="preserve"> lessonId
</t>
    </r>
    <r>
      <rPr>
        <sz val="11"/>
        <color rgb="FF00B050"/>
        <rFont val="Calibri"/>
        <family val="2"/>
        <scheme val="minor"/>
      </rPr>
      <t>StringProperty</t>
    </r>
    <r>
      <rPr>
        <sz val="11"/>
        <color theme="1"/>
        <rFont val="Calibri"/>
        <family val="2"/>
        <scheme val="minor"/>
      </rPr>
      <t xml:space="preserve"> title</t>
    </r>
  </si>
  <si>
    <r>
      <rPr>
        <sz val="11"/>
        <color rgb="FF00B050"/>
        <rFont val="Calibri"/>
        <family val="2"/>
        <scheme val="minor"/>
      </rPr>
      <t>StringProperty</t>
    </r>
    <r>
      <rPr>
        <sz val="11"/>
        <color theme="1"/>
        <rFont val="Calibri"/>
        <family val="2"/>
        <scheme val="minor"/>
      </rPr>
      <t xml:space="preserve"> levelId
</t>
    </r>
    <r>
      <rPr>
        <sz val="11"/>
        <color rgb="FF00B050"/>
        <rFont val="Calibri"/>
        <family val="2"/>
        <scheme val="minor"/>
      </rPr>
      <t>StringProperty</t>
    </r>
    <r>
      <rPr>
        <sz val="11"/>
        <color theme="1"/>
        <rFont val="Calibri"/>
        <family val="2"/>
        <scheme val="minor"/>
      </rPr>
      <t xml:space="preserve"> title
</t>
    </r>
    <r>
      <rPr>
        <sz val="11"/>
        <color rgb="FF00B050"/>
        <rFont val="Calibri"/>
        <family val="2"/>
        <scheme val="minor"/>
      </rPr>
      <t>ArrayList&lt;Level&gt;</t>
    </r>
    <r>
      <rPr>
        <sz val="11"/>
        <color theme="1"/>
        <rFont val="Calibri"/>
        <family val="2"/>
        <scheme val="minor"/>
      </rPr>
      <t xml:space="preserve"> subLevels
</t>
    </r>
    <r>
      <rPr>
        <sz val="11"/>
        <color rgb="FF00B050"/>
        <rFont val="Calibri"/>
        <family val="2"/>
        <scheme val="minor"/>
      </rPr>
      <t xml:space="preserve"> BooleanProperty</t>
    </r>
    <r>
      <rPr>
        <sz val="11"/>
        <color theme="1"/>
        <rFont val="Calibri"/>
        <family val="2"/>
        <scheme val="minor"/>
      </rPr>
      <t xml:space="preserve"> unlocked
</t>
    </r>
    <r>
      <rPr>
        <sz val="11"/>
        <color rgb="FF00B050"/>
        <rFont val="Calibri"/>
        <family val="2"/>
        <scheme val="minor"/>
      </rPr>
      <t xml:space="preserve"> ArrayList&lt;StringProperty&gt;</t>
    </r>
    <r>
      <rPr>
        <sz val="11"/>
        <color theme="1"/>
        <rFont val="Calibri"/>
        <family val="2"/>
        <scheme val="minor"/>
      </rPr>
      <t xml:space="preserve"> tags
</t>
    </r>
    <r>
      <rPr>
        <sz val="11"/>
        <color rgb="FF00B050"/>
        <rFont val="Calibri"/>
        <family val="2"/>
        <scheme val="minor"/>
      </rPr>
      <t>Node</t>
    </r>
    <r>
      <rPr>
        <sz val="11"/>
        <color theme="1"/>
        <rFont val="Calibri"/>
        <family val="2"/>
        <scheme val="minor"/>
      </rPr>
      <t xml:space="preserve"> graphics</t>
    </r>
  </si>
  <si>
    <t>Checklist!A26</t>
  </si>
  <si>
    <t>* make VideoLessonMakerController</t>
  </si>
  <si>
    <t>Planning!J10</t>
  </si>
  <si>
    <t>* make TextLessonMakerController</t>
  </si>
  <si>
    <t>* bind videoLesson to maker</t>
  </si>
  <si>
    <t>* bind textLesson to maker</t>
  </si>
  <si>
    <r>
      <t>* bind lessons to maker</t>
    </r>
    <r>
      <rPr>
        <sz val="11"/>
        <color rgb="FFC00000"/>
        <rFont val="Calibri"/>
        <family val="2"/>
      </rPr>
      <t xml:space="preserve">
</t>
    </r>
    <r>
      <rPr>
        <sz val="11"/>
        <color rgb="FF00B050"/>
        <rFont val="Calibri"/>
        <family val="2"/>
      </rPr>
      <t>* make VideoLessonMakerController
* make TextLessonMakerController</t>
    </r>
  </si>
  <si>
    <t>* confirmation for making lessons before pushing to database. It should show all the properties of the lessons first</t>
  </si>
  <si>
    <t>* make alert for confirmation before pushing to database</t>
  </si>
  <si>
    <t>Planning!J11</t>
  </si>
  <si>
    <t>Checklist!A30</t>
  </si>
  <si>
    <t>* show properties of the lesson made for confirmation</t>
  </si>
  <si>
    <t>Planning!J12</t>
  </si>
  <si>
    <t>Checklist!A32</t>
  </si>
  <si>
    <t>* upload TextLesson to database - TEST</t>
  </si>
  <si>
    <t>* upload VideoLesson to database - TEST</t>
  </si>
  <si>
    <t>* make user database</t>
  </si>
  <si>
    <t>* make lesson database</t>
  </si>
  <si>
    <t>* upload TextLesson to database</t>
  </si>
  <si>
    <t>* upload VideoLesson to database</t>
  </si>
  <si>
    <t>* make tables for lessons</t>
  </si>
  <si>
    <t>* make tables for user profiles and such</t>
  </si>
  <si>
    <t>* upload lessons to database if valid and confirmed - Test
* invalid method for each Lesson object to give info about error</t>
  </si>
  <si>
    <t>* make static methods for getting and storing data from and into the databases
* make tables inside of user and lesson database
* upload lessons to database
* make database model for connection: users, lessons, etc.</t>
  </si>
  <si>
    <t>* make static methods for UserDatabase</t>
  </si>
  <si>
    <t>* make static methods for LessonDatabase</t>
  </si>
  <si>
    <t>* exercise viewer for answering quizzes just the GUI first</t>
  </si>
  <si>
    <t>* GUI of viewing quizzes</t>
  </si>
  <si>
    <t>* submit quiz viewer - data validation</t>
  </si>
  <si>
    <t>Planning!J13</t>
  </si>
  <si>
    <t>Checklist!A46</t>
  </si>
  <si>
    <t>* submit quiz viewer - confirmation</t>
  </si>
  <si>
    <t>* submit quiz viewer - binding answers to QuizExercise object</t>
  </si>
  <si>
    <t>Remarks</t>
  </si>
  <si>
    <t>make isValid() method on the model</t>
  </si>
  <si>
    <t>* check method - Textlesson</t>
  </si>
  <si>
    <t>* check method - Lesson</t>
  </si>
  <si>
    <t>* check method - VideoLesson</t>
  </si>
  <si>
    <t>* check method for QuizExercise</t>
  </si>
  <si>
    <t>* check method for QuizItems</t>
  </si>
  <si>
    <t>* data validation for quiz maker</t>
  </si>
  <si>
    <r>
      <t xml:space="preserve">* quiz exercise viewer submit button with data validation and confirmation
</t>
    </r>
    <r>
      <rPr>
        <sz val="11"/>
        <color rgb="FF00B050"/>
        <rFont val="Calibri"/>
        <family val="2"/>
        <scheme val="minor"/>
      </rPr>
      <t>* bind answers to QuizExercise if submitted and confirmed</t>
    </r>
    <r>
      <rPr>
        <sz val="11"/>
        <color rgb="FFC00000"/>
        <rFont val="Calibri"/>
        <family val="2"/>
        <scheme val="minor"/>
      </rPr>
      <t xml:space="preserve">
* quiz maker check data validation</t>
    </r>
  </si>
  <si>
    <t>8/13/16</t>
  </si>
  <si>
    <t>Checklist!A54</t>
  </si>
  <si>
    <t>* Database -&gt; table for lessons (serialize or not?)</t>
  </si>
  <si>
    <t>* Database -&gt; table for quizzes (serialize or not?)</t>
  </si>
  <si>
    <t>08/13/2016</t>
  </si>
  <si>
    <t>* make exercise database</t>
  </si>
  <si>
    <t>* text_lesson table</t>
  </si>
  <si>
    <t>* video_lesson table</t>
  </si>
  <si>
    <t>* insert data into video_lesson - TEST</t>
  </si>
  <si>
    <t>* insert data into text_lesson - TEST</t>
  </si>
  <si>
    <t>8/14/16</t>
  </si>
  <si>
    <t>Planning!J15</t>
  </si>
  <si>
    <t>Checklist!A61</t>
  </si>
  <si>
    <t>* integrate quiz exercise with database</t>
  </si>
  <si>
    <t>* integrate lesson with database</t>
  </si>
  <si>
    <t>* pull video lessons from database</t>
  </si>
  <si>
    <t>* pull text lessons from database</t>
  </si>
  <si>
    <t>* pull videos using title</t>
  </si>
  <si>
    <t>* pull videos using tagging</t>
  </si>
  <si>
    <t>* pull lessons using title</t>
  </si>
  <si>
    <t>* pull lessons using tagging</t>
  </si>
  <si>
    <t>* pull lessons using lid</t>
  </si>
  <si>
    <t>* pull videos using lid</t>
  </si>
  <si>
    <t>* IMPORTANT - store the videos on resources folder and fix the path location to resource folder</t>
  </si>
  <si>
    <t>* alert to notify when push failed</t>
  </si>
  <si>
    <t>* fix LID maker in the future: use timestamp before storing to database</t>
  </si>
  <si>
    <t>8/15/16</t>
  </si>
  <si>
    <t>* integrate quizzes with database</t>
  </si>
  <si>
    <t>* pull quizzes from database</t>
  </si>
  <si>
    <t>* pull quizzes using title</t>
  </si>
  <si>
    <t>* pull quizzes using id</t>
  </si>
  <si>
    <t>* pull quizzes using tagging</t>
  </si>
  <si>
    <t>Planning!J16</t>
  </si>
  <si>
    <t>* make static methods for exercise database</t>
  </si>
  <si>
    <t>Planning!J14</t>
  </si>
  <si>
    <t>* make sample tables for storing data for:
  -quizzes
  -lessons</t>
  </si>
  <si>
    <r>
      <rPr>
        <sz val="11"/>
        <color rgb="FF00B050"/>
        <rFont val="Calibri"/>
        <family val="2"/>
        <scheme val="minor"/>
      </rPr>
      <t>ArrayList&lt;QuizItem&gt;</t>
    </r>
    <r>
      <rPr>
        <sz val="11"/>
        <color theme="1"/>
        <rFont val="Calibri"/>
        <family val="2"/>
        <scheme val="minor"/>
      </rPr>
      <t xml:space="preserve"> quizItems</t>
    </r>
    <r>
      <rPr>
        <sz val="11"/>
        <color theme="1"/>
        <rFont val="Calibri"/>
        <family val="2"/>
        <scheme val="minor"/>
      </rPr>
      <t xml:space="preserve">
</t>
    </r>
  </si>
  <si>
    <t>* push quizzes to database</t>
  </si>
  <si>
    <t>* create constructor for QuizItem to accept QuizItemSerializable</t>
  </si>
  <si>
    <t>8/16/16</t>
  </si>
  <si>
    <t>Planning!J17</t>
  </si>
  <si>
    <t>Checklist!A78</t>
  </si>
  <si>
    <t>Checklist!A72</t>
  </si>
  <si>
    <t>* QuizExercise fix -&gt; valid answers and answers</t>
  </si>
  <si>
    <r>
      <t xml:space="preserve">*fix points calculation - QuizItem
</t>
    </r>
    <r>
      <rPr>
        <sz val="11"/>
        <color rgb="FF00B050"/>
        <rFont val="Calibri"/>
        <family val="2"/>
        <scheme val="minor"/>
      </rPr>
      <t>*fix quiz maker - error handle if no answer is picked. Create alert</t>
    </r>
  </si>
  <si>
    <t>* QuizExerciseMaker store quizzes to database after clicking create button and was confirmed.</t>
  </si>
  <si>
    <r>
      <rPr>
        <sz val="11"/>
        <color rgb="FF00B050"/>
        <rFont val="Calibri"/>
        <family val="2"/>
        <scheme val="minor"/>
      </rPr>
      <t>* constructor QuizItem accepts QuizItemSerializable</t>
    </r>
    <r>
      <rPr>
        <sz val="11"/>
        <color rgb="FFC00000"/>
        <rFont val="Calibri"/>
        <family val="2"/>
        <scheme val="minor"/>
      </rPr>
      <t xml:space="preserve">
* fix answers and valid answers - must be only used for history?</t>
    </r>
  </si>
  <si>
    <t>* create constructor for QuizItemSerializableto accept QuizItem</t>
  </si>
  <si>
    <t>8/17/16</t>
  </si>
  <si>
    <t>8/18/16</t>
  </si>
  <si>
    <t>Checklist!A82</t>
  </si>
  <si>
    <t>Planning!J18</t>
  </si>
  <si>
    <t>* pull text lessons from db that contains certain tags</t>
  </si>
  <si>
    <t>* pull video lessons from db that contains certain tags</t>
  </si>
  <si>
    <t>* pull exercises from db that contains certain tags</t>
  </si>
  <si>
    <t>* pull lessons from database -&gt; contains some of the tags</t>
  </si>
  <si>
    <t>8/19/16</t>
  </si>
  <si>
    <t>Planning!J19</t>
  </si>
  <si>
    <t>Checklist!A86</t>
  </si>
  <si>
    <t>* refactor utils espescially toTagsString</t>
  </si>
  <si>
    <t>* organize utils and refactor to suited places</t>
  </si>
  <si>
    <t>8/20/16</t>
  </si>
  <si>
    <r>
      <t xml:space="preserve">* pull exercises from database -&gt; contains some of the tags
</t>
    </r>
    <r>
      <rPr>
        <sz val="11"/>
        <color rgb="FFC00000"/>
        <rFont val="Calibri"/>
        <family val="2"/>
      </rPr>
      <t>* randomize quizzes before displaying</t>
    </r>
  </si>
  <si>
    <t>8/21/16</t>
  </si>
  <si>
    <t>Checklist!A87</t>
  </si>
  <si>
    <t>Planning!J20</t>
  </si>
  <si>
    <t>* test OpenHFT - Java Runtime Compiler</t>
  </si>
  <si>
    <t>* JavaRuntimeCompilation -&gt; try OpenHFT</t>
  </si>
  <si>
    <t>8/22/16</t>
  </si>
  <si>
    <t>* store videos to directory and save the path to database</t>
  </si>
  <si>
    <t>* method to store videos to directory</t>
  </si>
  <si>
    <t>Planning!J21</t>
  </si>
  <si>
    <t>* method -&gt; pathTo(string from, string to)</t>
  </si>
  <si>
    <t>* TEST - if video is working after loading from database</t>
  </si>
  <si>
    <t>* TEST - upload the path to database</t>
  </si>
  <si>
    <t>* method -&gt; pathToVideo(string from)
call to pathTo("resources\videos")</t>
  </si>
  <si>
    <t>* create constructor - VideoLesson that accepts lesson</t>
  </si>
  <si>
    <t>* create constructor - TextLesson that accepts lesson</t>
  </si>
  <si>
    <t>* copy and clone methods for lessons</t>
  </si>
  <si>
    <t>8/23/16</t>
  </si>
  <si>
    <t>Planning!J22</t>
  </si>
  <si>
    <t>Checklist!A97</t>
  </si>
  <si>
    <t>Checklist!A89</t>
  </si>
  <si>
    <t>* methods for loading VideoLessons</t>
  </si>
  <si>
    <t>* methods loading video lesson path</t>
  </si>
  <si>
    <t>* IMPORTANT - randomize quizzes before displaying - use the static method randomize</t>
  </si>
  <si>
    <t>8/24/16</t>
  </si>
  <si>
    <t>* capture System.out.println stream to console using String</t>
  </si>
  <si>
    <t>Planning!J23</t>
  </si>
  <si>
    <t>Checklist!A98</t>
  </si>
  <si>
    <t>* capture the console System.out.println
* make sure to run the main method of the class</t>
  </si>
  <si>
    <t>* run the main method - check</t>
  </si>
  <si>
    <t>* make sure to run the main method first in some exercises if the class is needed</t>
  </si>
  <si>
    <t>8/26/16</t>
  </si>
  <si>
    <t>Checklist!A101</t>
  </si>
  <si>
    <t>* make the PracticalExercise model</t>
  </si>
  <si>
    <t>Planning!J24</t>
  </si>
  <si>
    <t>* practical exercise model, viewer, databse, and maker</t>
  </si>
  <si>
    <t>* make the PracticalExercise viewer</t>
  </si>
  <si>
    <t>* make the PracticalExercise database</t>
  </si>
  <si>
    <t>* make the PracticalExercise maker</t>
  </si>
  <si>
    <t>8/27/16</t>
  </si>
  <si>
    <t>* fixed something on level: getTagsString()</t>
  </si>
  <si>
    <t>Planning!J25</t>
  </si>
  <si>
    <t>Checklist!A104</t>
  </si>
  <si>
    <t>* fix level: getTagsString()</t>
  </si>
  <si>
    <t>RuntimeCompilation</t>
  </si>
  <si>
    <t>PracticalExercise</t>
  </si>
  <si>
    <t>PracticalPrintExercise</t>
  </si>
  <si>
    <r>
      <rPr>
        <sz val="11"/>
        <color rgb="FF00B050"/>
        <rFont val="Calibri"/>
        <family val="2"/>
        <scheme val="minor"/>
      </rPr>
      <t>StringProperty</t>
    </r>
    <r>
      <rPr>
        <sz val="11"/>
        <color theme="1"/>
        <rFont val="Calibri"/>
        <family val="2"/>
        <scheme val="minor"/>
      </rPr>
      <t xml:space="preserve"> printValidator
</t>
    </r>
    <r>
      <rPr>
        <sz val="11"/>
        <color rgb="FF00B050"/>
        <rFont val="Calibri"/>
        <family val="2"/>
        <scheme val="minor"/>
      </rPr>
      <t>boolean</t>
    </r>
    <r>
      <rPr>
        <sz val="11"/>
        <color theme="1"/>
        <rFont val="Calibri"/>
        <family val="2"/>
        <scheme val="minor"/>
      </rPr>
      <t xml:space="preserve"> mustMatch</t>
    </r>
  </si>
  <si>
    <t>PracticalReturnExercise</t>
  </si>
  <si>
    <t>8/28/16</t>
  </si>
  <si>
    <t>Planning!J26</t>
  </si>
  <si>
    <t>* make PracticalPrintExercise model</t>
  </si>
  <si>
    <t>* make PracticalPrintExercise viewer</t>
  </si>
  <si>
    <t>* make PracticalPrintExercise maker</t>
  </si>
  <si>
    <t>* make PracticalReturnExercise maker</t>
  </si>
  <si>
    <t>* make PracticalReturnExercise model</t>
  </si>
  <si>
    <t>* make PracticalReturnExercise viewer</t>
  </si>
  <si>
    <t>Checklist!A105</t>
  </si>
  <si>
    <t>* separate practical exercise to print and return types
* print and return: maker, viewer, model</t>
  </si>
  <si>
    <t>PracticalReturnValidator</t>
  </si>
  <si>
    <t>InputParameter</t>
  </si>
  <si>
    <r>
      <rPr>
        <sz val="11"/>
        <color rgb="FF00B050"/>
        <rFont val="Calibri"/>
        <family val="2"/>
        <scheme val="minor"/>
      </rPr>
      <t>StringProperty</t>
    </r>
    <r>
      <rPr>
        <sz val="11"/>
        <color theme="1"/>
        <rFont val="Calibri"/>
        <family val="2"/>
        <scheme val="minor"/>
      </rPr>
      <t xml:space="preserve"> input
</t>
    </r>
    <r>
      <rPr>
        <sz val="11"/>
        <color rgb="FF00B050"/>
        <rFont val="Calibri"/>
        <family val="2"/>
        <scheme val="minor"/>
      </rPr>
      <t>DataType</t>
    </r>
    <r>
      <rPr>
        <sz val="11"/>
        <color theme="1"/>
        <rFont val="Calibri"/>
        <family val="2"/>
        <scheme val="minor"/>
      </rPr>
      <t xml:space="preserve"> inputType</t>
    </r>
  </si>
  <si>
    <r>
      <rPr>
        <sz val="11"/>
        <color rgb="FF00B050"/>
        <rFont val="Calibri"/>
        <family val="2"/>
        <scheme val="minor"/>
      </rPr>
      <t>StringProperty</t>
    </r>
    <r>
      <rPr>
        <sz val="11"/>
        <color theme="1"/>
        <rFont val="Calibri"/>
        <family val="2"/>
        <scheme val="minor"/>
      </rPr>
      <t xml:space="preserve"> expectedReturn
</t>
    </r>
    <r>
      <rPr>
        <sz val="11"/>
        <color rgb="FF00B050"/>
        <rFont val="Calibri"/>
        <family val="2"/>
        <scheme val="minor"/>
      </rPr>
      <t>ArrayList&lt;StringProperty&gt;</t>
    </r>
    <r>
      <rPr>
        <sz val="11"/>
        <color theme="1"/>
        <rFont val="Calibri"/>
        <family val="2"/>
        <scheme val="minor"/>
      </rPr>
      <t xml:space="preserve"> inputs
</t>
    </r>
    <r>
      <rPr>
        <sz val="11"/>
        <color rgb="FF00B050"/>
        <rFont val="Calibri"/>
        <family val="2"/>
        <scheme val="minor"/>
      </rPr>
      <t/>
    </r>
  </si>
  <si>
    <r>
      <rPr>
        <sz val="11"/>
        <color rgb="FF00B050"/>
        <rFont val="Calibri"/>
        <family val="2"/>
        <scheme val="minor"/>
      </rPr>
      <t>ArrayList&lt;PracticalReturnValidator&gt;</t>
    </r>
    <r>
      <rPr>
        <sz val="11"/>
        <color theme="1"/>
        <rFont val="Calibri"/>
        <family val="2"/>
        <scheme val="minor"/>
      </rPr>
      <t xml:space="preserve"> returnValidators
</t>
    </r>
    <r>
      <rPr>
        <sz val="11"/>
        <color rgb="FF00B050"/>
        <rFont val="Calibri"/>
        <family val="2"/>
        <scheme val="minor"/>
      </rPr>
      <t>IntegerProperty</t>
    </r>
    <r>
      <rPr>
        <sz val="11"/>
        <color theme="1"/>
        <rFont val="Calibri"/>
        <family val="2"/>
        <scheme val="minor"/>
      </rPr>
      <t xml:space="preserve"> parameterSize
</t>
    </r>
    <r>
      <rPr>
        <sz val="11"/>
        <color rgb="FF00B050"/>
        <rFont val="Calibri"/>
        <family val="2"/>
        <scheme val="minor"/>
      </rPr>
      <t>ArrayList&lt;DataType&gt;</t>
    </r>
    <r>
      <rPr>
        <sz val="11"/>
        <color theme="1"/>
        <rFont val="Calibri"/>
        <family val="2"/>
        <scheme val="minor"/>
      </rPr>
      <t xml:space="preserve"> parametersTypes</t>
    </r>
  </si>
  <si>
    <t>* make PracticalExercise maker</t>
  </si>
  <si>
    <t>8/29/16</t>
  </si>
  <si>
    <t>* bind PracticalPrintExercise maker to model</t>
  </si>
  <si>
    <t>* bind PracticalReturnExercise maker to model</t>
  </si>
  <si>
    <t>Planning!J27</t>
  </si>
  <si>
    <t>Checklist!A112</t>
  </si>
  <si>
    <t>* bind makers to models and make databases</t>
  </si>
  <si>
    <t>* isValid() PracticalPrintExercise - validation</t>
  </si>
  <si>
    <t>* isValid() PracticalReturnExercise - validation</t>
  </si>
  <si>
    <t>* practical exercises clone and copy methods</t>
  </si>
  <si>
    <t>* remove implement serializable on models with fields that cannot be serialized</t>
  </si>
  <si>
    <r>
      <rPr>
        <sz val="11"/>
        <color rgb="FF00B050"/>
        <rFont val="Calibri"/>
        <family val="2"/>
        <scheme val="minor"/>
      </rPr>
      <t>StringProperty</t>
    </r>
    <r>
      <rPr>
        <sz val="11"/>
        <color theme="1"/>
        <rFont val="Calibri"/>
        <family val="2"/>
        <scheme val="minor"/>
      </rPr>
      <t xml:space="preserve"> instructions
</t>
    </r>
    <r>
      <rPr>
        <sz val="11"/>
        <color rgb="FF00B050"/>
        <rFont val="Calibri"/>
        <family val="2"/>
        <scheme val="minor"/>
      </rPr>
      <t>StringProperty</t>
    </r>
    <r>
      <rPr>
        <sz val="11"/>
        <color theme="1"/>
        <rFont val="Calibri"/>
        <family val="2"/>
        <scheme val="minor"/>
      </rPr>
      <t xml:space="preserve"> code
</t>
    </r>
    <r>
      <rPr>
        <sz val="11"/>
        <color rgb="FF00B050"/>
        <rFont val="Calibri"/>
        <family val="2"/>
        <scheme val="minor"/>
      </rPr>
      <t>StringProperty</t>
    </r>
    <r>
      <rPr>
        <sz val="11"/>
        <color theme="1"/>
        <rFont val="Calibri"/>
        <family val="2"/>
        <scheme val="minor"/>
      </rPr>
      <t xml:space="preserve"> className
</t>
    </r>
    <r>
      <rPr>
        <sz val="11"/>
        <color rgb="FF00B050"/>
        <rFont val="Calibri"/>
        <family val="2"/>
        <scheme val="minor"/>
      </rPr>
      <t>StringProperty</t>
    </r>
    <r>
      <rPr>
        <sz val="11"/>
        <color theme="1"/>
        <rFont val="Calibri"/>
        <family val="2"/>
        <scheme val="minor"/>
      </rPr>
      <t xml:space="preserve"> methodName</t>
    </r>
    <r>
      <rPr>
        <sz val="11"/>
        <color rgb="FF00B050"/>
        <rFont val="Calibri"/>
        <family val="2"/>
        <scheme val="minor"/>
      </rPr>
      <t/>
    </r>
  </si>
  <si>
    <t>8/30/16</t>
  </si>
  <si>
    <t>* PracticalPrintExercise - checker</t>
  </si>
  <si>
    <t>* PracticalRunExercise - checker</t>
  </si>
  <si>
    <t>Planning!J28</t>
  </si>
  <si>
    <t>Checklist!A118</t>
  </si>
  <si>
    <t>* make a checker method or something for checking code</t>
  </si>
  <si>
    <t>* PracticalPrintExercise - test</t>
  </si>
  <si>
    <t xml:space="preserve">* PracticalPrintExercise - fix the name of the method to main(String[] args) </t>
  </si>
  <si>
    <t>*make tempID for practical exercises for runtime compilation</t>
  </si>
  <si>
    <t>8/31/16</t>
  </si>
  <si>
    <t>Checklist!A123</t>
  </si>
  <si>
    <t>Planning!J29</t>
  </si>
  <si>
    <t>* fix PracticalPrintExercise -&gt; method should be fixed and main in Maker</t>
  </si>
  <si>
    <t>* methodName and className in PracticalPrintExercise should be fixed</t>
  </si>
  <si>
    <t>Checklist!A124</t>
  </si>
  <si>
    <t>Planning!J30</t>
  </si>
  <si>
    <t>* make serializable models and constructors  needed for: serialization, conversion, etc.</t>
  </si>
  <si>
    <t>* model -&gt; InputParameterSerializable</t>
  </si>
  <si>
    <t>* model -&gt; ReturnValidatorSerializable</t>
  </si>
  <si>
    <t>* constructor -&gt; InputParameterSerializable accepts InputParameter and vice versa</t>
  </si>
  <si>
    <t>* constructor -&gt; ReturnValidatorSerializable accepts ReturnValidator and vice versa</t>
  </si>
  <si>
    <t>* Practical Exercises -&gt; get from database using lid</t>
  </si>
  <si>
    <t>* Practical Exercises -&gt; get from database using title</t>
  </si>
  <si>
    <t>* Practical Exercises -&gt; get from database using tags exactly</t>
  </si>
  <si>
    <t>* Practical Exercises -&gt; get from database using tags contains</t>
  </si>
  <si>
    <t>Planning!J31</t>
  </si>
  <si>
    <t>Checklist!A132</t>
  </si>
  <si>
    <t>* finalize viewer and makers</t>
  </si>
  <si>
    <t>* finalize TextLesson -&gt; viewer</t>
  </si>
  <si>
    <t>* finalize VideoLesson -&gt; viewer</t>
  </si>
  <si>
    <t>* finalize QuizExercise -&gt; viewer</t>
  </si>
  <si>
    <t>* finalize QuizExercise -&gt; maker</t>
  </si>
  <si>
    <t>* finalize PracticalExercise -&gt; viewer</t>
  </si>
  <si>
    <t>* finalize PracticalExercise -&gt; maker</t>
  </si>
  <si>
    <t>* make Controllers class for calling viewers and makers (controllers should be loaded when program is started)</t>
  </si>
  <si>
    <t>* finalize LessonMaker -&gt; maker</t>
  </si>
  <si>
    <t>* fix addTag avoid duplicates (IMPORTANT)</t>
  </si>
  <si>
    <t>* FUTURE - load video lesson and text lesson views beforehand - those that contains inner controllers (not that important).</t>
  </si>
  <si>
    <t>Planning!J32</t>
  </si>
  <si>
    <t>Checklist!A145</t>
  </si>
  <si>
    <t>* fix level for integration with viewers</t>
  </si>
  <si>
    <t>* fix width and height to match parent when a viewer is inserted to level viewer</t>
  </si>
  <si>
    <t>Planning!J33</t>
  </si>
  <si>
    <t>Checklist!A146</t>
  </si>
  <si>
    <t>* fix exercises upload to database save whole serialized objects if possible for scalability</t>
  </si>
  <si>
    <t>* fix lessons upload to database save whole serialized objects if possible for scalability</t>
  </si>
  <si>
    <t>* exercises -&gt; remove unimportant columns</t>
  </si>
  <si>
    <t>* lessons -&gt; remove unimportant columns</t>
  </si>
  <si>
    <t>Cleaning up databases by storing serialized objects for scalability</t>
  </si>
  <si>
    <t>* exercises -&gt; add serialized object column</t>
  </si>
  <si>
    <t>* lessons -&gt; add serialized object column</t>
  </si>
  <si>
    <t>* ExerciseDatabase -&gt; change static methods</t>
  </si>
  <si>
    <t>* LessonDatabase -&gt; change static methods</t>
  </si>
  <si>
    <t>* User module -&gt; create the User model or class for history and profile</t>
  </si>
  <si>
    <t>Planning!J34</t>
  </si>
  <si>
    <t>Checklist!A152</t>
  </si>
  <si>
    <t>* User -&gt; history, event</t>
  </si>
  <si>
    <t>* User -&gt; level percentage -&gt; if exceeds then pass the level to unlock - NOT SURE</t>
  </si>
  <si>
    <t>* important add exam TAG to every exams</t>
  </si>
  <si>
    <t>* make an Exam class</t>
  </si>
  <si>
    <t>Planning!J35</t>
  </si>
  <si>
    <t>Checklist!A155</t>
  </si>
  <si>
    <t>* Exam</t>
  </si>
  <si>
    <t>* make an Exam database</t>
  </si>
  <si>
    <t>Apply to finalize version of controller</t>
  </si>
  <si>
    <t>* history -&gt; getLevelExamPercentage</t>
  </si>
  <si>
    <t>* user module -&gt; history get percentages</t>
  </si>
  <si>
    <t>QuizExerciseSerializable</t>
  </si>
  <si>
    <t>QuizItemSerializable</t>
  </si>
  <si>
    <t>User</t>
  </si>
  <si>
    <t>com.westlyf.user</t>
  </si>
  <si>
    <t>History</t>
  </si>
  <si>
    <r>
      <rPr>
        <sz val="11"/>
        <color rgb="FF00B050"/>
        <rFont val="Calibri"/>
        <family val="2"/>
        <scheme val="minor"/>
      </rPr>
      <t xml:space="preserve">static final long </t>
    </r>
    <r>
      <rPr>
        <sz val="11"/>
        <rFont val="Calibri"/>
        <family val="2"/>
        <scheme val="minor"/>
      </rPr>
      <t>serialVersionUID</t>
    </r>
    <r>
      <rPr>
        <sz val="11"/>
        <color rgb="FF00B050"/>
        <rFont val="Calibri"/>
        <family val="2"/>
        <scheme val="minor"/>
      </rPr>
      <t xml:space="preserve"> </t>
    </r>
    <r>
      <rPr>
        <sz val="11"/>
        <rFont val="Calibri"/>
        <family val="2"/>
        <scheme val="minor"/>
      </rPr>
      <t xml:space="preserve">= </t>
    </r>
    <r>
      <rPr>
        <sz val="11"/>
        <color rgb="FFC00000"/>
        <rFont val="Calibri"/>
        <family val="2"/>
        <scheme val="minor"/>
      </rPr>
      <t>0x101</t>
    </r>
    <r>
      <rPr>
        <sz val="11"/>
        <color rgb="FF00B050"/>
        <rFont val="Calibri"/>
        <family val="2"/>
        <scheme val="minor"/>
      </rPr>
      <t xml:space="preserve">
int</t>
    </r>
    <r>
      <rPr>
        <sz val="11"/>
        <color theme="1"/>
        <rFont val="Calibri"/>
        <family val="2"/>
        <scheme val="minor"/>
      </rPr>
      <t xml:space="preserve"> textLessonCounter
</t>
    </r>
    <r>
      <rPr>
        <sz val="11"/>
        <color rgb="FF00B050"/>
        <rFont val="Calibri"/>
        <family val="2"/>
        <scheme val="minor"/>
      </rPr>
      <t>int</t>
    </r>
    <r>
      <rPr>
        <sz val="11"/>
        <color theme="1"/>
        <rFont val="Calibri"/>
        <family val="2"/>
        <scheme val="minor"/>
      </rPr>
      <t xml:space="preserve"> videoLessonCounter
</t>
    </r>
    <r>
      <rPr>
        <sz val="11"/>
        <color rgb="FF00B050"/>
        <rFont val="Calibri"/>
        <family val="2"/>
        <scheme val="minor"/>
      </rPr>
      <t>int</t>
    </r>
    <r>
      <rPr>
        <sz val="11"/>
        <color theme="1"/>
        <rFont val="Calibri"/>
        <family val="2"/>
        <scheme val="minor"/>
      </rPr>
      <t xml:space="preserve"> quizExerciseCounter
</t>
    </r>
    <r>
      <rPr>
        <sz val="11"/>
        <color rgb="FF00B050"/>
        <rFont val="Calibri"/>
        <family val="2"/>
        <scheme val="minor"/>
      </rPr>
      <t>int</t>
    </r>
    <r>
      <rPr>
        <sz val="11"/>
        <color theme="1"/>
        <rFont val="Calibri"/>
        <family val="2"/>
        <scheme val="minor"/>
      </rPr>
      <t xml:space="preserve"> practicalExerciseCounter
</t>
    </r>
    <r>
      <rPr>
        <sz val="11"/>
        <color rgb="FF00B050"/>
        <rFont val="Calibri"/>
        <family val="2"/>
        <scheme val="minor"/>
      </rPr>
      <t>int</t>
    </r>
    <r>
      <rPr>
        <sz val="11"/>
        <color theme="1"/>
        <rFont val="Calibri"/>
        <family val="2"/>
        <scheme val="minor"/>
      </rPr>
      <t xml:space="preserve"> examCounter
</t>
    </r>
    <r>
      <rPr>
        <sz val="11"/>
        <color rgb="FF00B050"/>
        <rFont val="Calibri"/>
        <family val="2"/>
        <scheme val="minor"/>
      </rPr>
      <t>Level</t>
    </r>
    <r>
      <rPr>
        <sz val="11"/>
        <color theme="1"/>
        <rFont val="Calibri"/>
        <family val="2"/>
        <scheme val="minor"/>
      </rPr>
      <t xml:space="preserve"> currentLevel
</t>
    </r>
    <r>
      <rPr>
        <sz val="11"/>
        <color rgb="FF00B050"/>
        <rFont val="Calibri"/>
        <family val="2"/>
        <scheme val="minor"/>
      </rPr>
      <t>History</t>
    </r>
    <r>
      <rPr>
        <sz val="11"/>
        <color theme="1"/>
        <rFont val="Calibri"/>
        <family val="2"/>
        <scheme val="minor"/>
      </rPr>
      <t xml:space="preserve"> history</t>
    </r>
  </si>
  <si>
    <r>
      <rPr>
        <sz val="11"/>
        <color rgb="FF00B050"/>
        <rFont val="Calibri"/>
        <family val="2"/>
        <scheme val="minor"/>
      </rPr>
      <t xml:space="preserve">static final long </t>
    </r>
    <r>
      <rPr>
        <sz val="11"/>
        <rFont val="Calibri"/>
        <family val="2"/>
        <scheme val="minor"/>
      </rPr>
      <t>serialVersionUID</t>
    </r>
    <r>
      <rPr>
        <sz val="11"/>
        <color theme="1"/>
        <rFont val="Calibri"/>
        <family val="2"/>
        <scheme val="minor"/>
      </rPr>
      <t xml:space="preserve"> = </t>
    </r>
    <r>
      <rPr>
        <sz val="11"/>
        <color rgb="FFC00000"/>
        <rFont val="Calibri"/>
        <family val="2"/>
        <scheme val="minor"/>
      </rPr>
      <t>0x012</t>
    </r>
    <r>
      <rPr>
        <sz val="11"/>
        <color theme="1"/>
        <rFont val="Calibri"/>
        <family val="2"/>
        <scheme val="minor"/>
      </rPr>
      <t xml:space="preserve">
</t>
    </r>
    <r>
      <rPr>
        <sz val="11"/>
        <color rgb="FF00B050"/>
        <rFont val="Calibri"/>
        <family val="2"/>
        <scheme val="minor"/>
      </rPr>
      <t>ArrayList&lt;QuizItemSerializable&gt;</t>
    </r>
    <r>
      <rPr>
        <sz val="11"/>
        <color theme="1"/>
        <rFont val="Calibri"/>
        <family val="2"/>
        <scheme val="minor"/>
      </rPr>
      <t xml:space="preserve"> quizItems</t>
    </r>
  </si>
  <si>
    <r>
      <rPr>
        <sz val="11"/>
        <color rgb="FF00B050"/>
        <rFont val="Calibri"/>
        <family val="2"/>
        <scheme val="minor"/>
      </rPr>
      <t>static final long</t>
    </r>
    <r>
      <rPr>
        <sz val="11"/>
        <color theme="1"/>
        <rFont val="Calibri"/>
        <family val="2"/>
        <scheme val="minor"/>
      </rPr>
      <t xml:space="preserve"> serialVersionUID =</t>
    </r>
    <r>
      <rPr>
        <sz val="11"/>
        <color rgb="FFC00000"/>
        <rFont val="Calibri"/>
        <family val="2"/>
        <scheme val="minor"/>
      </rPr>
      <t xml:space="preserve"> 0x102</t>
    </r>
    <r>
      <rPr>
        <sz val="11"/>
        <color theme="1"/>
        <rFont val="Calibri"/>
        <family val="2"/>
        <scheme val="minor"/>
      </rPr>
      <t xml:space="preserve">;
</t>
    </r>
    <r>
      <rPr>
        <sz val="11"/>
        <color rgb="FF00B050"/>
        <rFont val="Calibri"/>
        <family val="2"/>
        <scheme val="minor"/>
      </rPr>
      <t xml:space="preserve">HashMap&lt;String, Event&gt; </t>
    </r>
    <r>
      <rPr>
        <sz val="11"/>
        <color theme="1"/>
        <rFont val="Calibri"/>
        <family val="2"/>
        <scheme val="minor"/>
      </rPr>
      <t xml:space="preserve">events
</t>
    </r>
    <r>
      <rPr>
        <sz val="11"/>
        <color rgb="FF00B050"/>
        <rFont val="Calibri"/>
        <family val="2"/>
        <scheme val="minor"/>
      </rPr>
      <t>HashMap&lt;String, LessonsLevel&gt;</t>
    </r>
    <r>
      <rPr>
        <sz val="11"/>
        <color theme="1"/>
        <rFont val="Calibri"/>
        <family val="2"/>
        <scheme val="minor"/>
      </rPr>
      <t xml:space="preserve"> lessonsLevels
</t>
    </r>
  </si>
  <si>
    <t>Event</t>
  </si>
  <si>
    <r>
      <rPr>
        <sz val="11"/>
        <color rgb="FF00B050"/>
        <rFont val="Calibri"/>
        <family val="2"/>
        <scheme val="minor"/>
      </rPr>
      <t>static final long</t>
    </r>
    <r>
      <rPr>
        <sz val="11"/>
        <color theme="1"/>
        <rFont val="Calibri"/>
        <family val="2"/>
        <scheme val="minor"/>
      </rPr>
      <t xml:space="preserve"> serialVersionUID =</t>
    </r>
    <r>
      <rPr>
        <sz val="11"/>
        <color rgb="FFC00000"/>
        <rFont val="Calibri"/>
        <family val="2"/>
        <scheme val="minor"/>
      </rPr>
      <t xml:space="preserve"> 0x103</t>
    </r>
    <r>
      <rPr>
        <sz val="11"/>
        <color theme="1"/>
        <rFont val="Calibri"/>
        <family val="2"/>
        <scheme val="minor"/>
      </rPr>
      <t xml:space="preserve">;
</t>
    </r>
    <r>
      <rPr>
        <sz val="11"/>
        <color rgb="FF00B050"/>
        <rFont val="Calibri"/>
        <family val="2"/>
        <scheme val="minor"/>
      </rPr>
      <t>final String</t>
    </r>
    <r>
      <rPr>
        <sz val="11"/>
        <color theme="1"/>
        <rFont val="Calibri"/>
        <family val="2"/>
        <scheme val="minor"/>
      </rPr>
      <t xml:space="preserve"> lessonId;
</t>
    </r>
    <r>
      <rPr>
        <sz val="11"/>
        <color rgb="FF00B050"/>
        <rFont val="Calibri"/>
        <family val="2"/>
        <scheme val="minor"/>
      </rPr>
      <t>int</t>
    </r>
    <r>
      <rPr>
        <sz val="11"/>
        <color theme="1"/>
        <rFont val="Calibri"/>
        <family val="2"/>
        <scheme val="minor"/>
      </rPr>
      <t xml:space="preserve"> totalItems;
</t>
    </r>
    <r>
      <rPr>
        <sz val="11"/>
        <color rgb="FF00B050"/>
        <rFont val="Calibri"/>
        <family val="2"/>
        <scheme val="minor"/>
      </rPr>
      <t>int</t>
    </r>
    <r>
      <rPr>
        <sz val="11"/>
        <color theme="1"/>
        <rFont val="Calibri"/>
        <family val="2"/>
        <scheme val="minor"/>
      </rPr>
      <t xml:space="preserve"> totalScores;
</t>
    </r>
    <r>
      <rPr>
        <sz val="11"/>
        <color rgb="FF00B050"/>
        <rFont val="Calibri"/>
        <family val="2"/>
        <scheme val="minor"/>
      </rPr>
      <t>int</t>
    </r>
    <r>
      <rPr>
        <sz val="11"/>
        <color theme="1"/>
        <rFont val="Calibri"/>
        <family val="2"/>
        <scheme val="minor"/>
      </rPr>
      <t xml:space="preserve"> views;
</t>
    </r>
    <r>
      <rPr>
        <sz val="11"/>
        <color rgb="FF00B050"/>
        <rFont val="Calibri"/>
        <family val="2"/>
        <scheme val="minor"/>
      </rPr>
      <t>EventType</t>
    </r>
    <r>
      <rPr>
        <sz val="11"/>
        <color theme="1"/>
        <rFont val="Calibri"/>
        <family val="2"/>
        <scheme val="minor"/>
      </rPr>
      <t xml:space="preserve"> eventType;</t>
    </r>
  </si>
  <si>
    <t>* UserSampleMain - test</t>
  </si>
  <si>
    <t>* QuizViewer - exam</t>
  </si>
  <si>
    <t>* QuizMaker - exam</t>
  </si>
  <si>
    <t>Planning!J36</t>
  </si>
  <si>
    <t>* fix the getLevelExercisePercentage</t>
  </si>
  <si>
    <t>* QuizItem -&gt; identification * IMPORTANT</t>
  </si>
  <si>
    <t>Checklist!A161</t>
  </si>
  <si>
    <t>* QuizItem add identification
* Exercises -&gt; view correct answers</t>
  </si>
  <si>
    <t>* correct answer reason -&gt; * OPTIONAL</t>
  </si>
  <si>
    <t>* view student answer's and correct answers -&gt; PracticalExercise * IMPORTANT</t>
  </si>
  <si>
    <t>* view student answer's and correct answers -&gt; QuizExercise *IMPORTANT</t>
  </si>
  <si>
    <t>* Reinforcement KDB - *IMPORTANT</t>
  </si>
  <si>
    <t>Planning!J37</t>
  </si>
  <si>
    <t>Checklist!A167</t>
  </si>
  <si>
    <t>*Reinforcement Kdb</t>
  </si>
  <si>
    <t>* explanation -&gt; Exercise -&gt; pull from database</t>
  </si>
  <si>
    <t>* explanation -&gt; Exercise -&gt; push from database</t>
  </si>
  <si>
    <t>* explanation -&gt; Exercise -&gt; input from maker</t>
  </si>
  <si>
    <t>* explanation -&gt; Exercise -&gt; output to viewer</t>
  </si>
  <si>
    <t>* test explanation retrieval using all get by id, title, tags from different exercises</t>
  </si>
  <si>
    <r>
      <rPr>
        <sz val="11"/>
        <color rgb="FF00B050"/>
        <rFont val="Calibri"/>
        <family val="2"/>
        <scheme val="minor"/>
      </rPr>
      <t>IntegerProperty</t>
    </r>
    <r>
      <rPr>
        <sz val="11"/>
        <color theme="1"/>
        <rFont val="Calibri"/>
        <family val="2"/>
        <scheme val="minor"/>
      </rPr>
      <t xml:space="preserve"> totalItems
</t>
    </r>
    <r>
      <rPr>
        <sz val="11"/>
        <color rgb="FF00B050"/>
        <rFont val="Calibri"/>
        <family val="2"/>
        <scheme val="minor"/>
      </rPr>
      <t>IntegerProperty</t>
    </r>
    <r>
      <rPr>
        <sz val="11"/>
        <color theme="1"/>
        <rFont val="Calibri"/>
        <family val="2"/>
        <scheme val="minor"/>
      </rPr>
      <t xml:space="preserve"> totalScore</t>
    </r>
    <r>
      <rPr>
        <sz val="11"/>
        <color rgb="FF00B050"/>
        <rFont val="Calibri"/>
        <family val="2"/>
        <scheme val="minor"/>
      </rPr>
      <t/>
    </r>
  </si>
  <si>
    <t>* add Right answer for PracticalExercises</t>
  </si>
  <si>
    <t>* isCorrect -&gt; quizItem for evaluation</t>
  </si>
  <si>
    <t>* QuizItem -&gt; method for showing which is answered by the user and which is correct</t>
  </si>
  <si>
    <t>Planning!J38</t>
  </si>
  <si>
    <t>Checklist!A173</t>
  </si>
  <si>
    <t>* IMPORANT - link user history with exercise viewers</t>
  </si>
  <si>
    <t>* QuizExercise - scoring and link with user history</t>
  </si>
  <si>
    <t>* evaluate score and add to user history -&gt; Practical</t>
  </si>
  <si>
    <t>* evaluate score and and add to user history -&gt; Exercise</t>
  </si>
  <si>
    <t>9/17/16</t>
  </si>
  <si>
    <t>Planning!J39</t>
  </si>
  <si>
    <t>Checklist!A175</t>
  </si>
  <si>
    <t>* Mix Video and PracticalExercise</t>
  </si>
  <si>
    <t>*New plan:
*New Exercise -&gt; Mix VideoLesson and PracticalExercise. Student can watch and code at the same time. Link the two tables together using lids
*New Exam -&gt;  Mix QuizExercise and PracticalExercise together</t>
  </si>
  <si>
    <t>9/18/16</t>
  </si>
  <si>
    <t>Planning!J40</t>
  </si>
  <si>
    <t>Checklist!A176</t>
  </si>
  <si>
    <t>* Make VideoPracticalExercise: mode, database, maker, viewer</t>
  </si>
  <si>
    <t>* VideoPracticalExercise -&gt; maker</t>
  </si>
  <si>
    <t>* VideoPracticalExercise -&gt; model</t>
  </si>
  <si>
    <t>* VideoPracticalExercise -&gt; database</t>
  </si>
  <si>
    <t>* VideoPracticalExercise -&gt; viewer</t>
  </si>
  <si>
    <t>* VideoPracticalExercise -&gt; Database -&gt; storeData</t>
  </si>
  <si>
    <t>* VideoPracticalExercise -&gt; Database -&gt; getUsingId</t>
  </si>
  <si>
    <t>* VideoPracticalExercise -&gt; Database -&gt; getUsingTitle</t>
  </si>
  <si>
    <t>* VideoPracticalExercise -&gt; Database -&gt; getUsingTagsContains</t>
  </si>
  <si>
    <t>* VideoPracticalExercise -&gt; Database -&gt; getUsingTagsExactly</t>
  </si>
  <si>
    <t>* VideoPracticalExercise -&gt; viewer -&gt; view</t>
  </si>
  <si>
    <t>* VideoPracticalExercise -&gt; viewer -&gt; getNode</t>
  </si>
  <si>
    <t>9/23/16</t>
  </si>
  <si>
    <t>Planning!J41</t>
  </si>
  <si>
    <t>* Exam - integrate to exam.fxml and test</t>
  </si>
  <si>
    <t>* TextLesson add html</t>
  </si>
  <si>
    <t>9/24/16</t>
  </si>
  <si>
    <t>* Exam -&gt; using Exam.fxml integrate</t>
  </si>
  <si>
    <t>* Level -&gt; view html when TextLesson using WebView</t>
  </si>
  <si>
    <t>* TextLesson -&gt; replace TextArea in maker with HtmlEditor - Sample test -&gt; TextLessonHtmlViewerMain</t>
  </si>
  <si>
    <t>* Exam -&gt; make an exam maker for making only choices</t>
  </si>
  <si>
    <r>
      <rPr>
        <sz val="11"/>
        <color rgb="FF00B050"/>
        <rFont val="Calibri"/>
        <family val="2"/>
        <scheme val="minor"/>
      </rPr>
      <t>StringProperty</t>
    </r>
    <r>
      <rPr>
        <sz val="11"/>
        <color theme="1"/>
        <rFont val="Calibri"/>
        <family val="2"/>
        <scheme val="minor"/>
      </rPr>
      <t xml:space="preserve"> question
</t>
    </r>
    <r>
      <rPr>
        <sz val="11"/>
        <color rgb="FF00B050"/>
        <rFont val="Calibri"/>
        <family val="2"/>
        <scheme val="minor"/>
      </rPr>
      <t>ArrayList&lt;String&gt;</t>
    </r>
    <r>
      <rPr>
        <sz val="11"/>
        <color theme="1"/>
        <rFont val="Calibri"/>
        <family val="2"/>
        <scheme val="minor"/>
      </rPr>
      <t xml:space="preserve"> choices
</t>
    </r>
    <r>
      <rPr>
        <sz val="11"/>
        <color rgb="FF00B050"/>
        <rFont val="Calibri"/>
        <family val="2"/>
        <scheme val="minor"/>
      </rPr>
      <t>ArrayList&lt;String&gt;</t>
    </r>
    <r>
      <rPr>
        <sz val="11"/>
        <color theme="1"/>
        <rFont val="Calibri"/>
        <family val="2"/>
        <scheme val="minor"/>
      </rPr>
      <t xml:space="preserve"> validAnswers
</t>
    </r>
    <r>
      <rPr>
        <sz val="11"/>
        <color rgb="FF00B050"/>
        <rFont val="Calibri"/>
        <family val="2"/>
        <scheme val="minor"/>
      </rPr>
      <t>IntegerProperty</t>
    </r>
    <r>
      <rPr>
        <sz val="11"/>
        <color theme="1"/>
        <rFont val="Calibri"/>
        <family val="2"/>
        <scheme val="minor"/>
      </rPr>
      <t xml:space="preserve"> points
</t>
    </r>
    <r>
      <rPr>
        <sz val="11"/>
        <color rgb="FF00B050"/>
        <rFont val="Calibri"/>
        <family val="2"/>
        <scheme val="minor"/>
      </rPr>
      <t>IntegerProperty</t>
    </r>
    <r>
      <rPr>
        <sz val="11"/>
        <color theme="1"/>
        <rFont val="Calibri"/>
        <family val="2"/>
        <scheme val="minor"/>
      </rPr>
      <t xml:space="preserve"> pointsPerCorrect
</t>
    </r>
    <r>
      <rPr>
        <sz val="11"/>
        <color rgb="FF00B050"/>
        <rFont val="Calibri"/>
        <family val="2"/>
        <scheme val="minor"/>
      </rPr>
      <t>ArrayList&lt;String&gt;</t>
    </r>
    <r>
      <rPr>
        <sz val="11"/>
        <color theme="1"/>
        <rFont val="Calibri"/>
        <family val="2"/>
        <scheme val="minor"/>
      </rPr>
      <t xml:space="preserve"> answers
</t>
    </r>
    <r>
      <rPr>
        <sz val="11"/>
        <color rgb="FF00B050"/>
        <rFont val="Calibri"/>
        <family val="2"/>
        <scheme val="minor"/>
      </rPr>
      <t>QuizType</t>
    </r>
    <r>
      <rPr>
        <sz val="11"/>
        <color theme="1"/>
        <rFont val="Calibri"/>
        <family val="2"/>
        <scheme val="minor"/>
      </rPr>
      <t xml:space="preserve"> type
</t>
    </r>
    <r>
      <rPr>
        <sz val="11"/>
        <color rgb="FF00B050"/>
        <rFont val="Calibri"/>
        <family val="2"/>
        <scheme val="minor"/>
      </rPr>
      <t>BooleanProperty</t>
    </r>
    <r>
      <rPr>
        <sz val="11"/>
        <color theme="1"/>
        <rFont val="Calibri"/>
        <family val="2"/>
        <scheme val="minor"/>
      </rPr>
      <t xml:space="preserve"> oneAnswer
</t>
    </r>
    <r>
      <rPr>
        <sz val="11"/>
        <color rgb="FF00B050"/>
        <rFont val="Calibri"/>
        <family val="2"/>
        <scheme val="minor"/>
      </rPr>
      <t>StringProperty</t>
    </r>
    <r>
      <rPr>
        <sz val="11"/>
        <color theme="1"/>
        <rFont val="Calibri"/>
        <family val="2"/>
        <scheme val="minor"/>
      </rPr>
      <t xml:space="preserve"> explanation
</t>
    </r>
    <r>
      <rPr>
        <sz val="11"/>
        <color rgb="FF00B050"/>
        <rFont val="Calibri"/>
        <family val="2"/>
        <scheme val="minor"/>
      </rPr>
      <t>StringProperty</t>
    </r>
    <r>
      <rPr>
        <sz val="11"/>
        <color theme="1"/>
        <rFont val="Calibri"/>
        <family val="2"/>
        <scheme val="minor"/>
      </rPr>
      <t xml:space="preserve"> hint</t>
    </r>
  </si>
  <si>
    <r>
      <rPr>
        <sz val="11"/>
        <color rgb="FF00B050"/>
        <rFont val="Calibri"/>
        <family val="2"/>
        <scheme val="minor"/>
      </rPr>
      <t>static final long</t>
    </r>
    <r>
      <rPr>
        <sz val="11"/>
        <color theme="1"/>
        <rFont val="Calibri"/>
        <family val="2"/>
        <scheme val="minor"/>
      </rPr>
      <t xml:space="preserve"> serialVersionUID = </t>
    </r>
    <r>
      <rPr>
        <sz val="11"/>
        <color rgb="FFC00000"/>
        <rFont val="Calibri"/>
        <family val="2"/>
        <scheme val="minor"/>
      </rPr>
      <t>0x011</t>
    </r>
    <r>
      <rPr>
        <sz val="11"/>
        <color theme="1"/>
        <rFont val="Calibri"/>
        <family val="2"/>
        <scheme val="minor"/>
      </rPr>
      <t xml:space="preserve">
</t>
    </r>
    <r>
      <rPr>
        <sz val="11"/>
        <color rgb="FF00B050"/>
        <rFont val="Calibri"/>
        <family val="2"/>
        <scheme val="minor"/>
      </rPr>
      <t>String</t>
    </r>
    <r>
      <rPr>
        <sz val="11"/>
        <color theme="1"/>
        <rFont val="Calibri"/>
        <family val="2"/>
        <scheme val="minor"/>
      </rPr>
      <t xml:space="preserve"> question
</t>
    </r>
    <r>
      <rPr>
        <sz val="11"/>
        <color rgb="FF00B050"/>
        <rFont val="Calibri"/>
        <family val="2"/>
        <scheme val="minor"/>
      </rPr>
      <t xml:space="preserve">int </t>
    </r>
    <r>
      <rPr>
        <sz val="11"/>
        <rFont val="Calibri"/>
        <family val="2"/>
        <scheme val="minor"/>
      </rPr>
      <t>points</t>
    </r>
    <r>
      <rPr>
        <sz val="11"/>
        <color theme="1"/>
        <rFont val="Calibri"/>
        <family val="2"/>
        <scheme val="minor"/>
      </rPr>
      <t xml:space="preserve">
 </t>
    </r>
    <r>
      <rPr>
        <sz val="11"/>
        <color rgb="FF00B050"/>
        <rFont val="Calibri"/>
        <family val="2"/>
        <scheme val="minor"/>
      </rPr>
      <t>int</t>
    </r>
    <r>
      <rPr>
        <sz val="11"/>
        <color theme="1"/>
        <rFont val="Calibri"/>
        <family val="2"/>
        <scheme val="minor"/>
      </rPr>
      <t xml:space="preserve"> pointsPerCorrect
</t>
    </r>
    <r>
      <rPr>
        <sz val="11"/>
        <color rgb="FF00B050"/>
        <rFont val="Calibri"/>
        <family val="2"/>
        <scheme val="minor"/>
      </rPr>
      <t>QuizType</t>
    </r>
    <r>
      <rPr>
        <sz val="11"/>
        <color theme="1"/>
        <rFont val="Calibri"/>
        <family val="2"/>
        <scheme val="minor"/>
      </rPr>
      <t xml:space="preserve"> type
</t>
    </r>
    <r>
      <rPr>
        <sz val="11"/>
        <color rgb="FF00B050"/>
        <rFont val="Calibri"/>
        <family val="2"/>
        <scheme val="minor"/>
      </rPr>
      <t>boolean</t>
    </r>
    <r>
      <rPr>
        <sz val="11"/>
        <color theme="1"/>
        <rFont val="Calibri"/>
        <family val="2"/>
        <scheme val="minor"/>
      </rPr>
      <t xml:space="preserve"> oneAnswer
</t>
    </r>
    <r>
      <rPr>
        <sz val="11"/>
        <color rgb="FF00B050"/>
        <rFont val="Calibri"/>
        <family val="2"/>
        <scheme val="minor"/>
      </rPr>
      <t>ArrayList&lt;String&gt;</t>
    </r>
    <r>
      <rPr>
        <sz val="11"/>
        <color theme="1"/>
        <rFont val="Calibri"/>
        <family val="2"/>
        <scheme val="minor"/>
      </rPr>
      <t xml:space="preserve"> choices
</t>
    </r>
    <r>
      <rPr>
        <sz val="11"/>
        <color rgb="FF00B050"/>
        <rFont val="Calibri"/>
        <family val="2"/>
        <scheme val="minor"/>
      </rPr>
      <t>ArrayList&lt;String&gt;</t>
    </r>
    <r>
      <rPr>
        <sz val="11"/>
        <color theme="1"/>
        <rFont val="Calibri"/>
        <family val="2"/>
        <scheme val="minor"/>
      </rPr>
      <t xml:space="preserve"> validAnswers
</t>
    </r>
    <r>
      <rPr>
        <sz val="11"/>
        <color rgb="FF00B050"/>
        <rFont val="Calibri"/>
        <family val="2"/>
        <scheme val="minor"/>
      </rPr>
      <t>ArrayList&lt;String&gt;</t>
    </r>
    <r>
      <rPr>
        <sz val="11"/>
        <color theme="1"/>
        <rFont val="Calibri"/>
        <family val="2"/>
        <scheme val="minor"/>
      </rPr>
      <t xml:space="preserve"> answers
</t>
    </r>
    <r>
      <rPr>
        <sz val="11"/>
        <color rgb="FF00B050"/>
        <rFont val="Calibri"/>
        <family val="2"/>
        <scheme val="minor"/>
      </rPr>
      <t>String</t>
    </r>
    <r>
      <rPr>
        <sz val="11"/>
        <color theme="1"/>
        <rFont val="Calibri"/>
        <family val="2"/>
        <scheme val="minor"/>
      </rPr>
      <t xml:space="preserve"> hint</t>
    </r>
  </si>
  <si>
    <t>com.westlyf.domain.exercise.practical</t>
  </si>
  <si>
    <t>CGroup</t>
  </si>
  <si>
    <t>Cstring</t>
  </si>
  <si>
    <t>CGroupSerializable</t>
  </si>
  <si>
    <t>CStringSerializable</t>
  </si>
  <si>
    <r>
      <rPr>
        <sz val="11"/>
        <color rgb="FF00B050"/>
        <rFont val="Calibri"/>
        <family val="2"/>
        <scheme val="minor"/>
      </rPr>
      <t>ArrayList&lt;StringProperty&gt;</t>
    </r>
    <r>
      <rPr>
        <sz val="11"/>
        <color theme="1"/>
        <rFont val="Calibri"/>
        <family val="2"/>
        <scheme val="minor"/>
      </rPr>
      <t xml:space="preserve"> equivalents
</t>
    </r>
    <r>
      <rPr>
        <sz val="11"/>
        <color rgb="FF00B050"/>
        <rFont val="Calibri"/>
        <family val="2"/>
        <scheme val="minor"/>
      </rPr>
      <t>StringProperty</t>
    </r>
    <r>
      <rPr>
        <sz val="11"/>
        <color theme="1"/>
        <rFont val="Calibri"/>
        <family val="2"/>
        <scheme val="minor"/>
      </rPr>
      <t xml:space="preserve"> tip</t>
    </r>
  </si>
  <si>
    <r>
      <rPr>
        <sz val="11"/>
        <color rgb="FF00B050"/>
        <rFont val="Calibri"/>
        <family val="2"/>
        <scheme val="minor"/>
      </rPr>
      <t xml:space="preserve">static final long </t>
    </r>
    <r>
      <rPr>
        <sz val="11"/>
        <color theme="1"/>
        <rFont val="Calibri"/>
        <family val="2"/>
        <scheme val="minor"/>
      </rPr>
      <t xml:space="preserve">serialVersionUID = </t>
    </r>
    <r>
      <rPr>
        <sz val="11"/>
        <color rgb="FFC00000"/>
        <rFont val="Calibri"/>
        <family val="2"/>
        <scheme val="minor"/>
      </rPr>
      <t xml:space="preserve">0x202
</t>
    </r>
    <r>
      <rPr>
        <sz val="11"/>
        <color rgb="FF00B050"/>
        <rFont val="Calibri"/>
        <family val="2"/>
        <scheme val="minor"/>
      </rPr>
      <t>ArrayList&lt;String&gt;</t>
    </r>
    <r>
      <rPr>
        <sz val="11"/>
        <color rgb="FFC00000"/>
        <rFont val="Calibri"/>
        <family val="2"/>
        <scheme val="minor"/>
      </rPr>
      <t xml:space="preserve"> </t>
    </r>
    <r>
      <rPr>
        <sz val="11"/>
        <rFont val="Calibri"/>
        <family val="2"/>
        <scheme val="minor"/>
      </rPr>
      <t xml:space="preserve">equivalents
</t>
    </r>
    <r>
      <rPr>
        <sz val="11"/>
        <color rgb="FF00B050"/>
        <rFont val="Calibri"/>
        <family val="2"/>
        <scheme val="minor"/>
      </rPr>
      <t>String</t>
    </r>
    <r>
      <rPr>
        <sz val="11"/>
        <rFont val="Calibri"/>
        <family val="2"/>
        <scheme val="minor"/>
      </rPr>
      <t xml:space="preserve"> tip</t>
    </r>
  </si>
  <si>
    <r>
      <rPr>
        <sz val="11"/>
        <color rgb="FF00B050"/>
        <rFont val="Calibri"/>
        <family val="2"/>
        <scheme val="minor"/>
      </rPr>
      <t xml:space="preserve">static final long </t>
    </r>
    <r>
      <rPr>
        <sz val="11"/>
        <color theme="1"/>
        <rFont val="Calibri"/>
        <family val="2"/>
        <scheme val="minor"/>
      </rPr>
      <t xml:space="preserve">serialVersionUID = </t>
    </r>
    <r>
      <rPr>
        <sz val="11"/>
        <color rgb="FFC00000"/>
        <rFont val="Calibri"/>
        <family val="2"/>
        <scheme val="minor"/>
      </rPr>
      <t xml:space="preserve">0x201
</t>
    </r>
    <r>
      <rPr>
        <sz val="11"/>
        <color rgb="FF00B050"/>
        <rFont val="Calibri"/>
        <family val="2"/>
        <scheme val="minor"/>
      </rPr>
      <t>ArrayList&lt;CStringSerializable&gt;</t>
    </r>
    <r>
      <rPr>
        <sz val="11"/>
        <color rgb="FFC00000"/>
        <rFont val="Calibri"/>
        <family val="2"/>
        <scheme val="minor"/>
      </rPr>
      <t xml:space="preserve"> </t>
    </r>
    <r>
      <rPr>
        <sz val="11"/>
        <rFont val="Calibri"/>
        <family val="2"/>
        <scheme val="minor"/>
      </rPr>
      <t>cStrings</t>
    </r>
    <r>
      <rPr>
        <sz val="11"/>
        <color rgb="FF00B050"/>
        <rFont val="Calibri"/>
        <family val="2"/>
        <scheme val="minor"/>
      </rPr>
      <t/>
    </r>
  </si>
  <si>
    <r>
      <rPr>
        <sz val="11"/>
        <color rgb="FF00B050"/>
        <rFont val="Calibri"/>
        <family val="2"/>
        <scheme val="minor"/>
      </rPr>
      <t>ArrayList&lt;CString&gt;</t>
    </r>
    <r>
      <rPr>
        <sz val="11"/>
        <color theme="1"/>
        <rFont val="Calibri"/>
        <family val="2"/>
        <scheme val="minor"/>
      </rPr>
      <t xml:space="preserve"> cStrings</t>
    </r>
    <r>
      <rPr>
        <sz val="11"/>
        <color rgb="FF00B050"/>
        <rFont val="Calibri"/>
        <family val="2"/>
        <scheme val="minor"/>
      </rPr>
      <t/>
    </r>
  </si>
  <si>
    <t>ToTest</t>
  </si>
  <si>
    <t>Type</t>
  </si>
  <si>
    <t>Error</t>
  </si>
  <si>
    <t>Fixed</t>
  </si>
  <si>
    <t>VideoPracticalExercise -&gt; Module 1 Lesson 1</t>
  </si>
  <si>
    <t>VideoPracticalExercise -&gt; Module 1 Lesson 2</t>
  </si>
  <si>
    <t>VideoPracticalExercise -&gt; Module 1 Lesson 3</t>
  </si>
  <si>
    <t>VideoPracticalExercise -&gt; Module 1 Lesson 4</t>
  </si>
  <si>
    <t>VideoPracticalExercise -&gt; Module 2 Lesson 1</t>
  </si>
  <si>
    <t>VideoPracticalExercise -&gt; Module 2 Lesson 2</t>
  </si>
  <si>
    <t>VideoPracticalExercise -&gt; Module 2 Lesson 4</t>
  </si>
  <si>
    <t>VideoPracticalExercise -&gt; Module 2 Lesson 5</t>
  </si>
  <si>
    <t>VideoPracticalExercise -&gt; Module 2 Lesson 6</t>
  </si>
  <si>
    <t>Summary Tests</t>
  </si>
  <si>
    <t>Summary</t>
  </si>
  <si>
    <t>VideoPracticalExercise -&gt; Module 3 Lesson 1</t>
  </si>
  <si>
    <t>VideoPracticalExercise -&gt; Module 3 Lesson 2</t>
  </si>
  <si>
    <t>VideoPracticalExercise -&gt; Module 3 Lesson 3</t>
  </si>
  <si>
    <t>VideoPracticalExercise -&gt; Module 3 Lesson 4</t>
  </si>
  <si>
    <t>VideoPracticalExercise -&gt; Module 3 Lesson 5</t>
  </si>
  <si>
    <t>VideoPracticalExercise -&gt; Module 4 Lesson 1</t>
  </si>
  <si>
    <t>VideoPracticalExercise -&gt; Module 4 Lesson 2</t>
  </si>
  <si>
    <t>VideoPracticalExercise -&gt; Module 4 Lesson 3</t>
  </si>
  <si>
    <t>VideoPracticalExercise -&gt; Module 4 Lesson 4</t>
  </si>
  <si>
    <t>VideoPracticalExercise -&gt; Module 4 Lesson 5</t>
  </si>
  <si>
    <t>VideoPracticalExercise -&gt; Module 4 Lesson 6</t>
  </si>
  <si>
    <t>VideoPracticalExercise -&gt; Module 5 Lesson 1</t>
  </si>
  <si>
    <t>VideoPracticalExercise -&gt; Module 5 Lesson 2</t>
  </si>
  <si>
    <t>VideoPracticalExercise -&gt; Module 5 Lesson 3</t>
  </si>
  <si>
    <t>VideoPracticalExercise -&gt; Module 5 Lesson 4</t>
  </si>
  <si>
    <t>VideoPracticalExercise -&gt; Module 5 Lesson 5</t>
  </si>
  <si>
    <t>Optional make instructions clearer.</t>
  </si>
  <si>
    <t>VideoPracticalExercise -&gt; Module 6 Lesson 1</t>
  </si>
  <si>
    <t>VideoPracticalExercise -&gt; Module 6 Lesson 2</t>
  </si>
  <si>
    <t>VideoPracticalExercise -&gt; Module 6 Lesson 3</t>
  </si>
  <si>
    <t>VideoPracticalExercise -&gt; Module 6 Lesson 4</t>
  </si>
  <si>
    <t>VideoPracticalExercise -&gt; Module 6 Lesson 5</t>
  </si>
  <si>
    <t>VideoPracticalExercise -&gt; Module 6 Lesson 6</t>
  </si>
  <si>
    <t>VideoPracticalExercise -&gt; Module 6 Lesson 8</t>
  </si>
  <si>
    <t>VideoPracticalExercise -&gt; Module 7 Lesson 1</t>
  </si>
  <si>
    <t>VideoPracticalExercise -&gt; Module 7 Lesson 2</t>
  </si>
  <si>
    <t>VideoPracticalExercise -&gt; Module 7 Lesson 3</t>
  </si>
  <si>
    <t>VideoPracticalExercise -&gt; Module 7 Lesson 5</t>
  </si>
  <si>
    <r>
      <rPr>
        <b/>
        <u/>
        <sz val="11"/>
        <color theme="6" tint="-0.249977111117893"/>
        <rFont val="Calibri"/>
        <family val="2"/>
        <scheme val="minor"/>
      </rPr>
      <t>DID NOT CHANGE ANYMORE</t>
    </r>
    <r>
      <rPr>
        <sz val="11"/>
        <color theme="6" tint="-0.249977111117893"/>
        <rFont val="Calibri"/>
        <family val="2"/>
        <scheme val="minor"/>
      </rPr>
      <t xml:space="preserve"> - optional </t>
    </r>
    <r>
      <rPr>
        <u/>
        <sz val="11"/>
        <color theme="6" tint="-0.249977111117893"/>
        <rFont val="Calibri"/>
        <family val="2"/>
        <scheme val="minor"/>
      </rPr>
      <t>Change Practical Exercise</t>
    </r>
    <r>
      <rPr>
        <sz val="11"/>
        <color theme="6" tint="-0.249977111117893"/>
        <rFont val="Calibri"/>
        <family val="2"/>
        <scheme val="minor"/>
      </rPr>
      <t>. Add Cstring to see if he or she changed the variable</t>
    </r>
  </si>
  <si>
    <t>Load System</t>
  </si>
  <si>
    <t>Load splash -&gt; Load some GUI</t>
  </si>
  <si>
    <t>Create New Profile -&gt; Validation</t>
  </si>
  <si>
    <t>Username: wrong alert 
-&gt; when there is space the message is "must be 4 characters long".
-&gt;should be: "no spaces are allowed"</t>
  </si>
  <si>
    <t>Create New Profile -&gt; page</t>
  </si>
  <si>
    <t>About -&gt; page</t>
  </si>
  <si>
    <t>Sign up -&gt; page</t>
  </si>
  <si>
    <t>Sign in -&gt; page</t>
  </si>
  <si>
    <t>Create New Profile -&gt; push to database</t>
  </si>
  <si>
    <t>Settings -&gt; page</t>
  </si>
  <si>
    <t>Sign in -&gt; database compare and validate</t>
  </si>
  <si>
    <t>Sign out -&gt; clean session</t>
  </si>
  <si>
    <t>Sign in -&gt; load important viewers *** that will be used overtime</t>
  </si>
  <si>
    <t xml:space="preserve">Sign out -&gt; page </t>
  </si>
  <si>
    <t>Main page -&gt; locked buttons</t>
  </si>
  <si>
    <t>Main page -&gt; unlocked grades if finished ….</t>
  </si>
  <si>
    <t>Main page -&gt; unlocked challenge if finished …</t>
  </si>
  <si>
    <t>Main page -&gt; unlocked exams if finished …</t>
  </si>
  <si>
    <t>Main page -&gt; Learn page -&gt; unlocked and see page when clicked</t>
  </si>
  <si>
    <t>Learn page -&gt; 1st module unlocked</t>
  </si>
  <si>
    <t>Different modules should be locked when not finished</t>
  </si>
  <si>
    <t>PracticalReturnExercise -&gt; Challenge -Linear Search</t>
  </si>
  <si>
    <t>PracticalReturnExercise -&gt; Challenge -Factorial</t>
  </si>
  <si>
    <t>PracticalReturnExercise -&gt; Challenge - Fibonacci</t>
  </si>
  <si>
    <t>PracticalReturnExercise -&gt; Challenge - Odd or Even</t>
  </si>
  <si>
    <t>PracticalReturnExercise -&gt; Challenge - Factorial</t>
  </si>
  <si>
    <t>PracticalReturnExercise -&gt; Challenge - Bubble Sort</t>
  </si>
  <si>
    <t>PracticalReturnExercise -&gt; Challenge - Binary Search</t>
  </si>
  <si>
    <t>PracticalReturnExercise -&gt; Challenge - Power</t>
  </si>
  <si>
    <t>PracticalReturnExercise -&gt; Challenge - Palindrome</t>
  </si>
  <si>
    <t>Test TEXT LESSON if working Module 1 Lesson 1</t>
  </si>
  <si>
    <t>Test TEXT LESSON if working Module 1 Lesson 2</t>
  </si>
  <si>
    <t>Test TEXT LESSON if working Module 1 Lesson 3</t>
  </si>
  <si>
    <t>Test TEXT LESSON if working Module 1 Lesson 4</t>
  </si>
  <si>
    <t>Test TEXT LESSON if working Module 1 Lesson 5</t>
  </si>
  <si>
    <t>Test TEXT LESSON if working Module 1 Lesson 6</t>
  </si>
  <si>
    <t>Test EXERCISE if working Module 1 Lesson 1</t>
  </si>
  <si>
    <t>Test EXERCISE if working Module 1 Lesson 2</t>
  </si>
  <si>
    <t>Test EXERCISE if working Module 1 Lesson 3</t>
  </si>
  <si>
    <t>Test EXERCISE if working Module 1 Lesson 4</t>
  </si>
  <si>
    <t xml:space="preserve">Test EXERCISE (NO EXERCISE) if working Module 1 Lesson 5
</t>
  </si>
  <si>
    <t>Data Tested</t>
  </si>
  <si>
    <t>10/30/16</t>
  </si>
  <si>
    <t>Date Fixed Errors</t>
  </si>
  <si>
    <t>10 tries NEUTRAL - every 10 seconds</t>
  </si>
  <si>
    <t>10 tries ANXIOUS - every 10 seconds</t>
  </si>
  <si>
    <t>10/31/16</t>
  </si>
  <si>
    <t>Error: Not that efficient, sometimes my anxious face is neutral to the FER</t>
  </si>
  <si>
    <t>After creating new profile:
-&gt; then go directly to home then error comes in no change in scenes
-&gt; need to logout first before it works</t>
  </si>
  <si>
    <t>Test TEXT LESSON if working Module 2 Lesson 1</t>
  </si>
  <si>
    <t>Module 1 Exam unlocked after finishing all exercises</t>
  </si>
  <si>
    <t>Optional: feels like every face I make is neutral</t>
  </si>
  <si>
    <t>no lesson 5 in module 1 anymore. this is removed</t>
  </si>
  <si>
    <t>Error: 
-&gt; After unlocking exam go into Lesson page module 1 and the links doubles or just appends the list so its like a clone of every lesson numbers</t>
  </si>
  <si>
    <t>Test Exam Module 1 if working -&gt; page</t>
  </si>
  <si>
    <t>Test Exam Module 1 if working -&gt; logic</t>
  </si>
  <si>
    <t>Error: 
-&gt; Clickable but does not redirect to page on some accounts. Minor bugs?</t>
  </si>
  <si>
    <t>Module 2 unlocked after submitting Exam -&gt; page</t>
  </si>
  <si>
    <t>Module 2 unlocked after submitting Exam -&gt; logic</t>
  </si>
  <si>
    <t>Grade results in grade -&gt; page</t>
  </si>
  <si>
    <t>Grade results in grade -&gt; logic</t>
  </si>
  <si>
    <t>Test TEXT LESSON if working Module 2 Lesson 2</t>
  </si>
  <si>
    <t>Test TEXT LESSON if working Module 2 Lesson 3</t>
  </si>
  <si>
    <t>Test TEXT LESSON if working Module 2 Lesson 4</t>
  </si>
  <si>
    <t>Test TEXT LESSON if working Module 2 Lesson 5</t>
  </si>
  <si>
    <t>Test TEXT LESSON if working Module 2 Lesson 6</t>
  </si>
  <si>
    <t>Module 2 Lesson 2 unlocked after exercise 1</t>
  </si>
  <si>
    <t>Practical Exercise Viewers -&gt; Output TextArea</t>
  </si>
  <si>
    <t>Error:
-&gt; The output stream is not cleared and is set on next practical exercise</t>
  </si>
  <si>
    <t>Module 2 Lesson 3 unlocked after exercise 2</t>
  </si>
  <si>
    <t>Module 2 Lesson 4 unlocked -&gt; No exercise</t>
  </si>
  <si>
    <t>Module 2 Lesson 5 unlocked after exercise 4</t>
  </si>
  <si>
    <t>Module 2 Lesson 6 unlocked after exercise 5</t>
  </si>
  <si>
    <t>Module 2 Exam unlocked after exerise 6</t>
  </si>
  <si>
    <t>Test TEXT LESSON if working Module 3 Lesson 1</t>
  </si>
  <si>
    <t>Test TEXT LESSON if working Module 3 Lesson 2</t>
  </si>
  <si>
    <t>Test TEXT LESSON if working Module 3 Lesson 3</t>
  </si>
  <si>
    <t>Module 3 Lesson 3 unlocked after exercise 2</t>
  </si>
  <si>
    <t>Module 3 Lesson 2 unlocked after exercise 1</t>
  </si>
  <si>
    <t>Module 3 Lesson 4 unlocked after exercise 3</t>
  </si>
  <si>
    <t>Optional: x = y Cstring for swapping for tip</t>
  </si>
  <si>
    <t>Test TEXT LESSON if working Module 3 Lesson 4</t>
  </si>
  <si>
    <t>Module 3 Lesson 5 unlocked after exercise 4</t>
  </si>
  <si>
    <t>Test TEXT LESSON if working Module 3 Lesson 5</t>
  </si>
  <si>
    <t>Module 3 Lesson 6 unlocked after exercise 5</t>
  </si>
  <si>
    <t>Test TEXT LESSON if working Module 3 Lesson 6</t>
  </si>
  <si>
    <t>Module 3 Exam unlocked after Lesson 6</t>
  </si>
  <si>
    <t>Module 3 Exam -&gt; display</t>
  </si>
  <si>
    <t>Module 3 Exam -&gt; logic</t>
  </si>
  <si>
    <t>Module 4 is unlocked after Exam</t>
  </si>
  <si>
    <t>Module 3 lesson unlocked after module 2 exam</t>
  </si>
  <si>
    <t>ERROR:
-&gt; should not unlock cause I got zero in the exam. My grades are all failing and yet Im on module 4 already</t>
  </si>
  <si>
    <t>Finishing an Exercise -&gt; do not submit  and just close</t>
  </si>
  <si>
    <t>BlackBox</t>
  </si>
  <si>
    <t>GrayBox</t>
  </si>
  <si>
    <t>WhiteBox</t>
  </si>
  <si>
    <t>ERROR:
-&gt;on close not called save and submit</t>
  </si>
  <si>
    <t>Error: 
-&gt; Cannot go into lesson 6 and no way of unlocking. 
-&gt; Exercise 4 just pops up on lesson 5</t>
  </si>
  <si>
    <r>
      <t xml:space="preserve">Error: 
-&gt; Expected </t>
    </r>
    <r>
      <rPr>
        <b/>
        <sz val="11"/>
        <color rgb="FF7030A0"/>
        <rFont val="Calibri"/>
        <family val="2"/>
        <scheme val="minor"/>
      </rPr>
      <t>no exercise on Lesson 5 of Module 1</t>
    </r>
    <r>
      <rPr>
        <sz val="11"/>
        <color rgb="FF7030A0"/>
        <rFont val="Calibri"/>
        <family val="2"/>
        <scheme val="minor"/>
      </rPr>
      <t xml:space="preserve"> but the </t>
    </r>
    <r>
      <rPr>
        <b/>
        <sz val="11"/>
        <color rgb="FF7030A0"/>
        <rFont val="Calibri"/>
        <family val="2"/>
        <scheme val="minor"/>
      </rPr>
      <t>exercise for Lesson 4 pops up</t>
    </r>
  </si>
  <si>
    <t>Exam failed -&gt; must be able to take exam again</t>
  </si>
  <si>
    <t>ERROR:
-&gt; cannot retake exam after failing it</t>
  </si>
  <si>
    <r>
      <t xml:space="preserve">Error: 
</t>
    </r>
    <r>
      <rPr>
        <b/>
        <sz val="11"/>
        <color rgb="FF7030A0"/>
        <rFont val="Calibri"/>
        <family val="2"/>
        <scheme val="minor"/>
      </rPr>
      <t xml:space="preserve">WRONG MODULE </t>
    </r>
    <r>
      <rPr>
        <sz val="11"/>
        <color rgb="FF7030A0"/>
        <rFont val="Calibri"/>
        <family val="2"/>
        <scheme val="minor"/>
      </rPr>
      <t xml:space="preserve">-&gt; I went to lesson1 and finished an exercise after that the exam became module 1 it should be module 2 and </t>
    </r>
    <r>
      <rPr>
        <b/>
        <sz val="11"/>
        <color rgb="FF7030A0"/>
        <rFont val="Calibri"/>
        <family val="2"/>
        <scheme val="minor"/>
      </rPr>
      <t>EVEN AFTER I FAILED MODULE 3 LESSONS WERE UNLOCKED</t>
    </r>
    <r>
      <rPr>
        <sz val="11"/>
        <color rgb="FF7030A0"/>
        <rFont val="Calibri"/>
        <family val="2"/>
        <scheme val="minor"/>
      </rPr>
      <t>.</t>
    </r>
  </si>
  <si>
    <r>
      <rPr>
        <u/>
        <sz val="11"/>
        <color rgb="FF7030A0"/>
        <rFont val="Calibri"/>
        <family val="2"/>
        <scheme val="minor"/>
      </rPr>
      <t>Change Practical Exercise</t>
    </r>
    <r>
      <rPr>
        <sz val="11"/>
        <color rgb="FF7030A0"/>
        <rFont val="Calibri"/>
        <family val="2"/>
        <scheme val="minor"/>
      </rPr>
      <t>. Make it accept anything. Use "" in the print validator to check if Contains("") to return always true.</t>
    </r>
  </si>
  <si>
    <r>
      <t xml:space="preserve">The </t>
    </r>
    <r>
      <rPr>
        <u/>
        <sz val="11"/>
        <color rgb="FF7030A0"/>
        <rFont val="Calibri"/>
        <family val="2"/>
        <scheme val="minor"/>
      </rPr>
      <t>video is wrong not match with the instructions in exercise</t>
    </r>
    <r>
      <rPr>
        <sz val="11"/>
        <color rgb="FF7030A0"/>
        <rFont val="Calibri"/>
        <family val="2"/>
        <scheme val="minor"/>
      </rPr>
      <t>.
It should be
System.out.println();
System.out.println();
System.out.print() / println();</t>
    </r>
  </si>
  <si>
    <r>
      <rPr>
        <u/>
        <sz val="11"/>
        <color rgb="FF7030A0"/>
        <rFont val="Calibri"/>
        <family val="2"/>
        <scheme val="minor"/>
      </rPr>
      <t>Change Practical Exercise</t>
    </r>
    <r>
      <rPr>
        <sz val="11"/>
        <color rgb="FF7030A0"/>
        <rFont val="Calibri"/>
        <family val="2"/>
        <scheme val="minor"/>
      </rPr>
      <t>. Make it read a single // comment or /**/ to succeed in the next lesson.</t>
    </r>
  </si>
  <si>
    <r>
      <rPr>
        <u/>
        <sz val="11"/>
        <color rgb="FF7030A0"/>
        <rFont val="Calibri"/>
        <family val="2"/>
        <scheme val="minor"/>
      </rPr>
      <t>Change Practical Exercise</t>
    </r>
    <r>
      <rPr>
        <sz val="11"/>
        <color rgb="FF7030A0"/>
        <rFont val="Calibri"/>
        <family val="2"/>
        <scheme val="minor"/>
      </rPr>
      <t>. Avoid cheating by using Cstring</t>
    </r>
  </si>
  <si>
    <r>
      <rPr>
        <u/>
        <sz val="11"/>
        <color rgb="FF7030A0"/>
        <rFont val="Calibri"/>
        <family val="2"/>
        <scheme val="minor"/>
      </rPr>
      <t>Change Video or Instruction in Practical Exercise</t>
    </r>
    <r>
      <rPr>
        <sz val="11"/>
        <color rgb="FF7030A0"/>
        <rFont val="Calibri"/>
        <family val="2"/>
        <scheme val="minor"/>
      </rPr>
      <t>.
Error: "This is my number 44..." -&gt; This is number 44…".</t>
    </r>
  </si>
  <si>
    <r>
      <rPr>
        <u/>
        <sz val="11"/>
        <color rgb="FF7030A0"/>
        <rFont val="Calibri"/>
        <family val="2"/>
        <scheme val="minor"/>
      </rPr>
      <t>Change Practical Exercise</t>
    </r>
    <r>
      <rPr>
        <sz val="11"/>
        <color rgb="FF7030A0"/>
        <rFont val="Calibri"/>
        <family val="2"/>
        <scheme val="minor"/>
      </rPr>
      <t>. Output did not match. The modulo operator not checked by Cstring.</t>
    </r>
  </si>
  <si>
    <r>
      <rPr>
        <u/>
        <sz val="11"/>
        <color rgb="FF7030A0"/>
        <rFont val="Calibri"/>
        <family val="2"/>
        <scheme val="minor"/>
      </rPr>
      <t>Change Practical Exercise</t>
    </r>
    <r>
      <rPr>
        <sz val="11"/>
        <color rgb="FF7030A0"/>
        <rFont val="Calibri"/>
        <family val="2"/>
        <scheme val="minor"/>
      </rPr>
      <t xml:space="preserve">. Make sure to do Cstring with and without parentheses for checking ternary operators. Also </t>
    </r>
    <r>
      <rPr>
        <b/>
        <sz val="11"/>
        <color rgb="FF7030A0"/>
        <rFont val="Calibri"/>
        <family val="2"/>
        <scheme val="minor"/>
      </rPr>
      <t>WRONG CODE</t>
    </r>
    <r>
      <rPr>
        <sz val="11"/>
        <color rgb="FF7030A0"/>
        <rFont val="Calibri"/>
        <family val="2"/>
        <scheme val="minor"/>
      </rPr>
      <t xml:space="preserve"> entered in </t>
    </r>
    <r>
      <rPr>
        <b/>
        <sz val="11"/>
        <color rgb="FF7030A0"/>
        <rFont val="Calibri"/>
        <family val="2"/>
        <scheme val="minor"/>
      </rPr>
      <t>PRATICAL EXERCISE</t>
    </r>
  </si>
  <si>
    <r>
      <rPr>
        <u/>
        <sz val="11"/>
        <color rgb="FF7030A0"/>
        <rFont val="Calibri"/>
        <family val="2"/>
        <scheme val="minor"/>
      </rPr>
      <t>Change Video Lesson</t>
    </r>
    <r>
      <rPr>
        <sz val="11"/>
        <color rgb="FF7030A0"/>
        <rFont val="Calibri"/>
        <family val="2"/>
        <scheme val="minor"/>
      </rPr>
      <t xml:space="preserve">. Not zoomed in. Also fix the video cause 0 % 6 == 0 will be true cause any number is divisible by 0. but the range is 1-40 not including </t>
    </r>
    <r>
      <rPr>
        <b/>
        <sz val="11"/>
        <color rgb="FF7030A0"/>
        <rFont val="Calibri"/>
        <family val="2"/>
        <scheme val="minor"/>
      </rPr>
      <t>ZERO</t>
    </r>
  </si>
  <si>
    <r>
      <rPr>
        <u/>
        <sz val="11"/>
        <color rgb="FF7030A0"/>
        <rFont val="Calibri"/>
        <family val="2"/>
        <scheme val="minor"/>
      </rPr>
      <t>Change Practical Exercise</t>
    </r>
    <r>
      <rPr>
        <sz val="11"/>
        <color rgb="FF7030A0"/>
        <rFont val="Calibri"/>
        <family val="2"/>
        <scheme val="minor"/>
      </rPr>
      <t>. Doesn't recognize System.out.println(numberSum(6,9)); by the Cstring</t>
    </r>
  </si>
  <si>
    <t>10/30/2016</t>
  </si>
  <si>
    <r>
      <rPr>
        <b/>
        <u/>
        <sz val="11"/>
        <color rgb="FF7030A0"/>
        <rFont val="Calibri"/>
        <family val="2"/>
        <scheme val="minor"/>
      </rPr>
      <t>Fix notes for code</t>
    </r>
    <r>
      <rPr>
        <sz val="11"/>
        <color rgb="FF7030A0"/>
        <rFont val="Calibri"/>
        <family val="2"/>
        <scheme val="minor"/>
      </rPr>
      <t>: I put  examController.startTimer(); 
inside UserController class 
inside openExam() method
----------------------------------------------
ExamChoicesOnlyViewerController:
-&gt; Starts timer on load
-&gt; Should only start when user started exam</t>
    </r>
  </si>
  <si>
    <t>ERROR:
-&gt; already on the last item and cannot go backs. No choices also. After submission I got zero and the timer looks like already started a while ago.</t>
  </si>
  <si>
    <t>ERROR:
-&gt; grades duplicate -&gt; after taking some exams</t>
  </si>
  <si>
    <t>Exam -&gt; choices in exam retake</t>
  </si>
  <si>
    <t>ERROR:
-&gt; stores the previous answer before retake</t>
  </si>
  <si>
    <t>Grade -&gt; grades labels</t>
  </si>
  <si>
    <t>Grade -&gt; grades -&gt; values</t>
  </si>
  <si>
    <t>ERROR:
-&gt; no% in average percentages per module</t>
  </si>
  <si>
    <t>Test TEXT LESSON if working Module 4 Lesson 1</t>
  </si>
  <si>
    <t>Module 4 Lesson 2 unlocked after exercise 1</t>
  </si>
  <si>
    <t>Test TEXT LESSON if working Module 4 Lesson 2</t>
  </si>
  <si>
    <t>Module 4 Lesson 3 unlocked after exercise 2</t>
  </si>
  <si>
    <t>Test TEXT LESSON if working Module 4 Lesson 3</t>
  </si>
  <si>
    <t>Module 4 Lesson 4 unlocked after exercise 3</t>
  </si>
  <si>
    <t>Module 4 Lesson 5 unlocked after exercise 4</t>
  </si>
  <si>
    <t>Test TEXT LESSON if working Module 4 Lesson 4</t>
  </si>
  <si>
    <t>Test TEXT LESSON if working Module 4 Lesson 5</t>
  </si>
  <si>
    <t>Module 4 Lesson 6 unlocked after exercise 5</t>
  </si>
  <si>
    <t>Test TEXT LESSON if working Module 4 Lesson 6</t>
  </si>
  <si>
    <t>Module 4 Exam submission -&gt; fail</t>
  </si>
  <si>
    <t>ERROR:
-&gt; should be: Both are True!
-&gt; comments when checking Cstring</t>
  </si>
  <si>
    <t>Module 4 EXAM unlocked after TEXT LESSON 7 no exercise In this lesson</t>
  </si>
  <si>
    <t>Module 4 Lesson 7 unlocked after exercise 6</t>
  </si>
  <si>
    <t>Test TEXT LESSON if working Module 4 Lesson 7</t>
  </si>
  <si>
    <t>ERROR:
-&gt; TEXT LESSONS gets UNLOCKED by WRONG EXERCISES</t>
  </si>
  <si>
    <t>Module 4 Exam submission -&gt; pass -&gt; unlock module 5</t>
  </si>
  <si>
    <t>Test TEXT LESSON if working Module 5 Lesson 1</t>
  </si>
  <si>
    <t>Module 5 Lesson 2 unlocked after exercise 1</t>
  </si>
  <si>
    <t>Challenge page -&gt; working</t>
  </si>
  <si>
    <t>ERROR:
-&gt; go in and out of page then you see the list of challenges disappear</t>
  </si>
  <si>
    <t>Challenge page -&gt; open a link to one of challenges</t>
  </si>
  <si>
    <t>ERROR
-&gt; it says root is used in multiple scenes</t>
  </si>
  <si>
    <t>ERROR:
-&gt; lowercase default and case keywords in instructions</t>
  </si>
  <si>
    <r>
      <rPr>
        <u/>
        <sz val="11"/>
        <color rgb="FF7030A0"/>
        <rFont val="Calibri"/>
        <family val="2"/>
        <scheme val="minor"/>
      </rPr>
      <t>Change Practical Exercise</t>
    </r>
    <r>
      <rPr>
        <sz val="11"/>
        <color rgb="FF7030A0"/>
        <rFont val="Calibri"/>
        <family val="2"/>
        <scheme val="minor"/>
      </rPr>
      <t>. The name of the method should be "myHelloWorld "</t>
    </r>
  </si>
  <si>
    <t>Grades are open and accessible</t>
  </si>
  <si>
    <t>analytics / grades</t>
  </si>
  <si>
    <r>
      <t xml:space="preserve">ERROR:
-&gt; gets </t>
    </r>
    <r>
      <rPr>
        <b/>
        <sz val="11"/>
        <color rgb="FF7030A0"/>
        <rFont val="Calibri"/>
        <family val="2"/>
        <scheme val="minor"/>
      </rPr>
      <t>TEXT LESSONS</t>
    </r>
    <r>
      <rPr>
        <sz val="11"/>
        <color rgb="FF7030A0"/>
        <rFont val="Calibri"/>
        <family val="2"/>
        <scheme val="minor"/>
      </rPr>
      <t xml:space="preserve"> gets </t>
    </r>
    <r>
      <rPr>
        <b/>
        <sz val="11"/>
        <color rgb="FF7030A0"/>
        <rFont val="Calibri"/>
        <family val="2"/>
        <scheme val="minor"/>
      </rPr>
      <t>UNLOCKED</t>
    </r>
    <r>
      <rPr>
        <sz val="11"/>
        <color rgb="FF7030A0"/>
        <rFont val="Calibri"/>
        <family val="2"/>
        <scheme val="minor"/>
      </rPr>
      <t xml:space="preserve"> by </t>
    </r>
    <r>
      <rPr>
        <b/>
        <u/>
        <sz val="11"/>
        <color rgb="FF7030A0"/>
        <rFont val="Calibri"/>
        <family val="2"/>
        <scheme val="minor"/>
      </rPr>
      <t xml:space="preserve">WRONG EXERCISES
</t>
    </r>
    <r>
      <rPr>
        <sz val="11"/>
        <color rgb="FF7030A0"/>
        <rFont val="Calibri"/>
        <family val="2"/>
        <scheme val="minor"/>
      </rPr>
      <t>-&gt; module 4 gets unlocked by exercise 2 after submitting it 2 times
-&gt; module 5 gets unlocked by exercise 3 after submitting it 2 times
-&gt; and so on….</t>
    </r>
  </si>
  <si>
    <t xml:space="preserve">Module 5 exam -&gt; submit </t>
  </si>
  <si>
    <t>ERROR:
-&gt; module 5 - no next lesson errors upon submission of exam -&gt; grades gets duplicated by how many times you pressed the submit button</t>
  </si>
  <si>
    <t>OPTIONAL:
-&gt; should have or should not have submit button? -&gt; the submit button is unclickable as of now and need to click the x button to close the window which produces an alert: "Are you sure? All changes will not be saved"</t>
  </si>
  <si>
    <t>Challenges -&gt; Practical Return Exercise window</t>
  </si>
  <si>
    <t>ResultController -&gt; display</t>
  </si>
  <si>
    <t>ERROR:
-&gt; error in points</t>
  </si>
  <si>
    <t>Challenges -&gt; Practical Return Exercise codeTextArea</t>
  </si>
  <si>
    <t>ERROR:
-&gt; when correct -&gt; code is replaced by the correct exercise when new exercise is opened
-&gt; not editable textarea after reloading the Practical Return Exercise window</t>
  </si>
  <si>
    <t>EXAM -&gt; FER -&gt; check if working as background task</t>
  </si>
  <si>
    <t>EXAM -&gt; FER -&gt; give hint to particular item</t>
  </si>
  <si>
    <t>ERROR:
-&gt; video not fit with the window</t>
  </si>
  <si>
    <t>Module 1 Exercise 3 -&gt; video</t>
  </si>
  <si>
    <t>Exam -&gt; Module 1 Test -&gt; Set B</t>
  </si>
  <si>
    <t>Exam -&gt; Module 1 Test -&gt; Set A</t>
  </si>
  <si>
    <t>Exam -&gt; Module 1 Test -&gt; Set C</t>
  </si>
  <si>
    <t>Exam -&gt; Module 2 Test -&gt; Set C</t>
  </si>
  <si>
    <t>Exam -&gt; Module 2 Test -&gt; Set A</t>
  </si>
  <si>
    <t>Exam -&gt; Module 2 Test -&gt; Set B</t>
  </si>
  <si>
    <t>Exam -&gt; Module 3 Test -&gt; Set A</t>
  </si>
  <si>
    <t>Exam -&gt; Module 3 Test -&gt; Set B</t>
  </si>
  <si>
    <t>Exam -&gt; Module 3 Test -&gt; Set C</t>
  </si>
  <si>
    <t>Exam -&gt; Module 4 Test -&gt; Set A</t>
  </si>
  <si>
    <t>Exam -&gt; Module 4 Test -&gt; Set B</t>
  </si>
  <si>
    <t>Exam -&gt; Module 4 Test -&gt; Set C</t>
  </si>
  <si>
    <t>Exam -&gt; Module 5 Test -&gt; Set A</t>
  </si>
  <si>
    <t>Exam -&gt; Module 5 Test -&gt; Set B</t>
  </si>
  <si>
    <t>Exam -&gt; Module 5 Test -&gt; Set C</t>
  </si>
  <si>
    <t>Exam -&gt; Module 6 Test -&gt; Set A</t>
  </si>
  <si>
    <t>Exam -&gt; Module 6 Test -&gt; Set B</t>
  </si>
  <si>
    <t>Exam -&gt; Module 6 Test -&gt; Set C</t>
  </si>
  <si>
    <t>ERROR:
-&gt; Limit of grade should change on retakes. Should be parabolic</t>
  </si>
  <si>
    <t>Exam -&gt; grades</t>
  </si>
  <si>
    <t>ExamChoicesOnlyViewer -&gt; timer</t>
  </si>
  <si>
    <t>ERROR:
-&gt; timer and method to run is not on same thread</t>
  </si>
  <si>
    <t>ExamChoicesOnlyViewer -&gt; Exam Exercise</t>
  </si>
  <si>
    <t>ERROR:
-&gt; After the timer has stopped, examExercise will pop up. After closing the exercise you can still continue answering the multiple choices even though it should exit already</t>
  </si>
  <si>
    <t>ERROR:
-&gt; Exam must submit when timer ended
-&gt; must reset the ExamExerciseViewer after exam</t>
  </si>
  <si>
    <t>Module 5 Text Lessons</t>
  </si>
  <si>
    <t>Module 5 exercise 2</t>
  </si>
  <si>
    <t>OPTIONAL: 
-&gt; fix Cstring to check shortcuts in printing</t>
  </si>
  <si>
    <t>Module 6 Text Lessons</t>
  </si>
  <si>
    <t>ERROR: 
-&gt; The text lessons in these modules have no images in webview html?</t>
  </si>
  <si>
    <t>Module 6 exercise 7</t>
  </si>
  <si>
    <t>ERROR:
-&gt; Fix displayNumber -&gt; displayNumbers</t>
  </si>
  <si>
    <t>Module 7 Text Lessons</t>
  </si>
  <si>
    <t>Challenges page -&gt; challenge</t>
  </si>
  <si>
    <t>OPTIONAL: 
-&gt; after correct answer - the answers are retained. But after logout or closing the program and retaking the challenges the answers are gone.</t>
  </si>
  <si>
    <t>Exam -&gt; exercise is open and timer expired</t>
  </si>
  <si>
    <t>ERROR:
-&gt; Cannot see the alert popups need to close in taskbar</t>
  </si>
  <si>
    <t>Module 5- 7 text lessons, exercises and exams</t>
  </si>
  <si>
    <t>Module 7 exam set A</t>
  </si>
  <si>
    <t>ERROR:
-&gt; No practical exercise</t>
  </si>
  <si>
    <t>Module 7 exam set B</t>
  </si>
  <si>
    <t>ERROR:
-&gt; valid declaration of variables. Float and int are correct? But must choose only one</t>
  </si>
  <si>
    <t>Module 7 exam set C -&gt; choices</t>
  </si>
  <si>
    <t>OPTIONAL:
-&gt; must be able to reset code? So that if code is modified</t>
  </si>
  <si>
    <t>Exam module 1 set A</t>
  </si>
  <si>
    <t>Exam module 1 set B</t>
  </si>
  <si>
    <t>Exam module 1 set C</t>
  </si>
  <si>
    <t>Exam module 2 set A</t>
  </si>
  <si>
    <t>Exam module 2 set B</t>
  </si>
  <si>
    <t>Exam module 2 set C</t>
  </si>
  <si>
    <t>Exam module 3 set A</t>
  </si>
  <si>
    <t>Exam module 3 set B</t>
  </si>
  <si>
    <t>Exam module 3 set C</t>
  </si>
  <si>
    <t>Exam module 4 set A</t>
  </si>
  <si>
    <t>Exam module 4 set B</t>
  </si>
  <si>
    <t>Exam module 4 set C</t>
  </si>
  <si>
    <t>Exam module 5 set A</t>
  </si>
  <si>
    <t>Exam module 5 set B</t>
  </si>
  <si>
    <t>Exam module 5 set C</t>
  </si>
  <si>
    <t>Exam module 6 set A</t>
  </si>
  <si>
    <t>Exam module 6 set B</t>
  </si>
  <si>
    <t>Exam module 6 set C</t>
  </si>
  <si>
    <t>Exam module 7 set A</t>
  </si>
  <si>
    <t>Exam module 7 set B</t>
  </si>
  <si>
    <t>Exam module 7 set C</t>
  </si>
  <si>
    <t>ERROR:
-&gt; #6</t>
  </si>
  <si>
    <t>ERROR:
-&gt; #5</t>
  </si>
  <si>
    <t>ERROR:
-&gt; #15</t>
  </si>
  <si>
    <t>ERROR:
-&gt; #8, #15</t>
  </si>
  <si>
    <t>ERROR:
-&gt; #1</t>
  </si>
  <si>
    <t>ERROR:
-&gt; #3</t>
  </si>
  <si>
    <t>ERROR:
-&gt; #7</t>
  </si>
  <si>
    <t>ERROR:
-&gt; #4</t>
  </si>
  <si>
    <t>ERROR:
-&gt; #3, 5</t>
  </si>
  <si>
    <t>ERROR:
-&gt; #11, 15</t>
  </si>
  <si>
    <t>Scenario</t>
  </si>
  <si>
    <t>Test Step</t>
  </si>
  <si>
    <t>Expected Result</t>
  </si>
  <si>
    <t>Actual outcome</t>
  </si>
  <si>
    <t>System must load properly</t>
  </si>
  <si>
    <t>Click or open the app then wait for it to open or load</t>
  </si>
  <si>
    <t>loads or opens</t>
  </si>
  <si>
    <t>Sign up page</t>
  </si>
  <si>
    <t>Sign in page</t>
  </si>
  <si>
    <t>Click the "Create new profile" button</t>
  </si>
  <si>
    <t>Click the "Load profile" button</t>
  </si>
  <si>
    <t>"Load profile" button is working and redirects to sign in page</t>
  </si>
  <si>
    <t>"Create new profile" button is working and goes to sign up page</t>
  </si>
  <si>
    <t>About page</t>
  </si>
  <si>
    <t>Click the about icon button below</t>
  </si>
  <si>
    <t>The about icon button is working and redirects to About page</t>
  </si>
  <si>
    <t>Click the setting icon button</t>
  </si>
  <si>
    <t>The setting icon button is working and redirects to settings page</t>
  </si>
  <si>
    <t>Settings page</t>
  </si>
  <si>
    <t>Onload page</t>
  </si>
  <si>
    <t>Create new profile page</t>
  </si>
  <si>
    <t>Validation of textfields</t>
  </si>
  <si>
    <t>Enter random data including characters and not matching passwords to see if there is validation</t>
  </si>
  <si>
    <t>Validation alert when not match, incomplete, there is special characters, and other incorrect data inputs</t>
  </si>
  <si>
    <t>Data is pushed to database upon submit</t>
  </si>
  <si>
    <t>Click the submit button after filling up all the fields</t>
  </si>
  <si>
    <t>User data is pushed to database</t>
  </si>
  <si>
    <t>same</t>
  </si>
  <si>
    <t>Load profile page</t>
  </si>
  <si>
    <t>Compare and validate username and passwords</t>
  </si>
  <si>
    <t>Fill in the fields for username and password</t>
  </si>
  <si>
    <t>Redirect to user page if valid else produce an alert</t>
  </si>
  <si>
    <t>User page</t>
  </si>
  <si>
    <t>Sign out</t>
  </si>
  <si>
    <t>Click the sign out button</t>
  </si>
  <si>
    <t>Cleans user session and redirects to Onload or guest page</t>
  </si>
  <si>
    <t>Locked pages</t>
  </si>
  <si>
    <t>Locked and will not open until finishing the requirements</t>
  </si>
  <si>
    <t>Learn page</t>
  </si>
  <si>
    <t>Learn page unlocked</t>
  </si>
  <si>
    <t>Check if the grades, challenges and exam pages are locked on first signed in by clicking through the buttons</t>
  </si>
  <si>
    <t>Unlocked button</t>
  </si>
  <si>
    <t>Unlocked lessons</t>
  </si>
  <si>
    <t>Check if the learn page is unlocked after first signed in by clicking</t>
  </si>
  <si>
    <t>Click module 1 and click lesson 1</t>
  </si>
  <si>
    <t>Clickable and redirects to 1st leson</t>
  </si>
  <si>
    <t>Open exercise</t>
  </si>
  <si>
    <t>Click the exercise button after loading the lesson</t>
  </si>
  <si>
    <t>Open the practical exercise with videos included</t>
  </si>
  <si>
    <t>Unlock new lessons</t>
  </si>
  <si>
    <t>Correctly answer the exercise on each lesson</t>
  </si>
  <si>
    <t>Unlocks new lesson on the module and exam if it is the last lesson</t>
  </si>
  <si>
    <t>Locked modules and lessons</t>
  </si>
  <si>
    <t>Click to check</t>
  </si>
  <si>
    <t>Does not open until the user passed the exams and exercises</t>
  </si>
  <si>
    <t>Exam page</t>
  </si>
  <si>
    <t>Video</t>
  </si>
  <si>
    <t>Video Practical Exercise (Lesson Exercises) page</t>
  </si>
  <si>
    <t>Click the play button in video</t>
  </si>
  <si>
    <t>Exercise compilation error</t>
  </si>
  <si>
    <t>Type a bunch of texts that the compiler cannot understand</t>
  </si>
  <si>
    <t>Produce an alert or error message that it is a compilation error</t>
  </si>
  <si>
    <t>Exercise wrong actual output error</t>
  </si>
  <si>
    <t>Do not follow the instructions in the exercise</t>
  </si>
  <si>
    <t>Produce an alert or error message saying the problem</t>
  </si>
  <si>
    <t>Exercise correct actual output but not following instructions</t>
  </si>
  <si>
    <t>Use tricks so that it may get passed to checking ex: instead of calculating and outputting the sum of 8 + 6 just output 14 in the console</t>
  </si>
  <si>
    <t>Close</t>
  </si>
  <si>
    <t>Click the run button</t>
  </si>
  <si>
    <t>Run to check</t>
  </si>
  <si>
    <t>compile and check for errors. If no errors enable the submit button else produce the error</t>
  </si>
  <si>
    <t>Submit disabled</t>
  </si>
  <si>
    <t>Submit button is disabled</t>
  </si>
  <si>
    <t>Check if submit button is disabled while exercise is not yet finished</t>
  </si>
  <si>
    <t>Submit enabled</t>
  </si>
  <si>
    <t>Type the correct answer for the exercise then run then try to click the submit button</t>
  </si>
  <si>
    <t>Click the close button</t>
  </si>
  <si>
    <t>check the timer in the exam window if moving</t>
  </si>
  <si>
    <t>Timer and Timer slider</t>
  </si>
  <si>
    <t>Questions and choices</t>
  </si>
  <si>
    <t>Left and right button</t>
  </si>
  <si>
    <t>Click the left and right arrow buttons for navigating through the items of the exam</t>
  </si>
  <si>
    <t>Can navigate from the 1st question upto the last one</t>
  </si>
  <si>
    <t>Check by navigating to each items</t>
  </si>
  <si>
    <t>Correct set of questions and choices.</t>
  </si>
  <si>
    <t>Choices button</t>
  </si>
  <si>
    <t>Click to answer</t>
  </si>
  <si>
    <t>Is clickable and is marked as answer</t>
  </si>
  <si>
    <t>Timer slider is moving and once time has expired it submits all answers</t>
  </si>
  <si>
    <t>Submit button</t>
  </si>
  <si>
    <t>click the code button to answer exercise</t>
  </si>
  <si>
    <t>Opens up the practical print exercise</t>
  </si>
  <si>
    <t>Click the submit exam button</t>
  </si>
  <si>
    <t>Opens exercise if not yet answered and time has not yet expired else compute grade and show the results page. Also if the grades page is unlocked this will unlock the grades page</t>
  </si>
  <si>
    <t>Close button</t>
  </si>
  <si>
    <t>Grades page</t>
  </si>
  <si>
    <t>User grades</t>
  </si>
  <si>
    <t>Check the user grades listed in tables</t>
  </si>
  <si>
    <t>All grades in exams and retakes are there. Also there is an overall grade</t>
  </si>
  <si>
    <t>Closes the exam</t>
  </si>
  <si>
    <t>Closes the whole application</t>
  </si>
  <si>
    <t>Complete the last exam of module 7</t>
  </si>
  <si>
    <t>Unlocks the challenges page</t>
  </si>
  <si>
    <t>Challenges page</t>
  </si>
  <si>
    <t>List of challenges</t>
  </si>
  <si>
    <t>Check if the page contains a list of all challenges</t>
  </si>
  <si>
    <t>All challenges are listed in table with clickable links</t>
  </si>
  <si>
    <t>Challenge links</t>
  </si>
  <si>
    <t>Click the links to answer the challenge</t>
  </si>
  <si>
    <t>It opens the Practical Return Exercise</t>
  </si>
  <si>
    <t>Practical Return Exercise (Challenges exercise) page</t>
  </si>
  <si>
    <t>Instructions</t>
  </si>
  <si>
    <t>Check the instructions in the textarea</t>
  </si>
  <si>
    <t>No typo when it comes to names of the classes, methods, variables, etc.</t>
  </si>
  <si>
    <t>Code text area</t>
  </si>
  <si>
    <t>click and type to the text area</t>
  </si>
  <si>
    <t>Able to focus and type</t>
  </si>
  <si>
    <t>Click and type to the text area</t>
  </si>
  <si>
    <t>Exercise not match actual outputs with expected outputs</t>
  </si>
  <si>
    <t>Try to return a value using different formula or just a dummy value</t>
  </si>
  <si>
    <t>Produce an alert or error message saying the problem. The console shows the inputs, expected outputs, and actual outputs together with its matches and the ones who did not.</t>
  </si>
  <si>
    <t>Exercise every expected outputs matches with actual outputs</t>
  </si>
  <si>
    <t>Follow the instructions and type the correct answer</t>
  </si>
  <si>
    <t>Displays an error that indicates he or she did not follow the instruction</t>
  </si>
  <si>
    <t>Execute</t>
  </si>
  <si>
    <t>Click the execute button</t>
  </si>
  <si>
    <t>Does not enable the submit button</t>
  </si>
  <si>
    <t>Closes the challenge page</t>
  </si>
  <si>
    <t>Displays a message that all expected and actual outputs matched.</t>
  </si>
  <si>
    <t>fixed</t>
  </si>
  <si>
    <t>Video is working with no problem. All videos are correct and similar to instructions</t>
  </si>
  <si>
    <t>There are videos with errors and does not match with the instructions</t>
  </si>
  <si>
    <t>Alert showing exercise will not be saved and close the window</t>
  </si>
  <si>
    <t>Save the exercise then close the window</t>
  </si>
  <si>
    <t>11/18/16</t>
  </si>
  <si>
    <t>Module 1 Intro</t>
  </si>
  <si>
    <t>Module 2 Intro</t>
  </si>
  <si>
    <t>Module 1 TextLesson 4</t>
  </si>
  <si>
    <t>Module 1 TextLesson 3</t>
  </si>
  <si>
    <t>Module 1 TextLesson 2</t>
  </si>
  <si>
    <t>Module 1 TextLesson 1</t>
  </si>
  <si>
    <t>Module 2 TextLesson 1</t>
  </si>
  <si>
    <t>Module 2 TextLesson 2</t>
  </si>
  <si>
    <t>Module 2 TextLesson 3</t>
  </si>
  <si>
    <t>Module 2 TextLesson 4</t>
  </si>
  <si>
    <t>Module 2 TextLesson 5</t>
  </si>
  <si>
    <t>Module 2 TextLesson 6</t>
  </si>
  <si>
    <t xml:space="preserve"> ERROR:
-&gt; double quotation (" ") or single quotation (' ').</t>
  </si>
  <si>
    <t>ERROR:
-&gt; double quotation (" ") or a single quotation (' ').</t>
  </si>
  <si>
    <t>ERROR: 
-&gt; nameoftheclass</t>
  </si>
  <si>
    <t>ERROR:
-&gt; int[] myArray = new int[3] // this can hold up to 4 elements
-&gt; How can int[] myArray = new int[3]; hold up to four elements when the number of elements written inside the bracket is 3?</t>
  </si>
  <si>
    <t>Module 3 Intro</t>
  </si>
  <si>
    <t>Module 3 TextLesson 1</t>
  </si>
  <si>
    <t>Module 3 TextLesson 2</t>
  </si>
  <si>
    <t>Module 3 TextLesson 3</t>
  </si>
  <si>
    <t>Module 3 TextLesson 4</t>
  </si>
  <si>
    <t>Module 3 TextLesson 5</t>
  </si>
  <si>
    <t>Module 3 TextLesson 6</t>
  </si>
  <si>
    <t>ERROR:
-&gt; This is called post increment. It uses the value first before incrementing it by one.The same applies for decrement.</t>
  </si>
  <si>
    <t>ERROR:
-&gt; wrong image x should be 3</t>
  </si>
  <si>
    <t>ERROR:
-&gt; wrong image should replace indexes</t>
  </si>
  <si>
    <t>Module 4 Intro</t>
  </si>
  <si>
    <t>Module 4 TextLesson 1</t>
  </si>
  <si>
    <t>Module 4 TextLesson 2</t>
  </si>
  <si>
    <t>Module 4 TextLesson 3</t>
  </si>
  <si>
    <t>Module 4 TextLesson 4</t>
  </si>
  <si>
    <t>Module 4 TextLesson 5</t>
  </si>
  <si>
    <t>Module 4 TextLesson 6</t>
  </si>
  <si>
    <t>Module 4 TextLesson 7</t>
  </si>
  <si>
    <t>ERROR:
-&gt; This checks if all conditions are satisfied. A single '&amp;' will result to an error.
Or (||)
This checks whether one condition is satisfied. A single '|' will result to an error.</t>
  </si>
  <si>
    <t>ERROR:
-&gt; Wrong lesson title</t>
  </si>
  <si>
    <t>ERROR:
-&gt; And (&amp;&amp;) - this checks if all conditions are satisfied. A single '&amp;' will result to an error.
Or (||) - this checks whether one condition is satisfied. A single '|' will result to an error.</t>
  </si>
  <si>
    <t>Module 5 Intro</t>
  </si>
  <si>
    <t>Module 5 TextLesson 1</t>
  </si>
  <si>
    <t>Module 5 TextLesson 2</t>
  </si>
  <si>
    <t>Module 5 TextLesson 3</t>
  </si>
  <si>
    <t>Module 5 TextLesson 4</t>
  </si>
  <si>
    <t>Module 5 TextLesson 5</t>
  </si>
  <si>
    <t xml:space="preserve">ERROR:
-&gt; Output:  is Even or is Odd wrong statements?
</t>
  </si>
  <si>
    <t>Module 6 Intro</t>
  </si>
  <si>
    <t>Module 6 TextLesson 1</t>
  </si>
  <si>
    <t>Module 6 TextLesson 2</t>
  </si>
  <si>
    <t>Module 6 TextLesson 3</t>
  </si>
  <si>
    <t>Module 6 TextLesson 4</t>
  </si>
  <si>
    <t>Module 6 TextLesson 5</t>
  </si>
  <si>
    <t>Module 6 TextLesson 6</t>
  </si>
  <si>
    <t>Module 6 TextLesson 7</t>
  </si>
  <si>
    <t>Module 6 TextLesson 8</t>
  </si>
  <si>
    <t>ERROR:
-&gt; executes am</t>
  </si>
  <si>
    <t>ERROR:
-&gt; wrong image</t>
  </si>
  <si>
    <t>Module 7 Intro</t>
  </si>
  <si>
    <t>Module 7 TextLesson 1</t>
  </si>
  <si>
    <t>Module 7 TextLesson 2</t>
  </si>
  <si>
    <t>Module 7 TextLesson 3</t>
  </si>
  <si>
    <t>Module 7 TextLesson 4</t>
  </si>
  <si>
    <t>Module 7 TextLesson 5</t>
  </si>
  <si>
    <t>ERROR:
-&gt; As a note, all classes in Java must be public. Java does not allow a class to be private. **Should be default and public?</t>
  </si>
  <si>
    <t>Module 1 VideoPracticalExercise 3</t>
  </si>
  <si>
    <t>Module 2 VideoPracticalExercise 6</t>
  </si>
  <si>
    <t>Module 3 VideoPracticalExercise 5</t>
  </si>
  <si>
    <t>Module 4 VideoPracticalExercise 3</t>
  </si>
  <si>
    <t>Module 5 VideoPracticalExercise 1</t>
  </si>
  <si>
    <t>Module 5 VideoPracticalExercise 5</t>
  </si>
  <si>
    <t>Module 6 VideoPracticalExercise 4</t>
  </si>
  <si>
    <t>Module 7 VideoPracticalExercise 2</t>
  </si>
  <si>
    <t>ERROR:
-&gt; EXERCISE - instruction, Cstring</t>
  </si>
  <si>
    <t>ERROR:
-&gt; type: arrays - array's</t>
  </si>
  <si>
    <t>ERROR:
-&gt; VIDEO, EXERCISE, instruction, Cstring, NOT SAME VARIABLES</t>
  </si>
  <si>
    <t>ERROR: INSTRUCTIONS
-&gt; misleading
-&gt; redundant</t>
  </si>
  <si>
    <t>ERROR:
-&gt; VIDEO, EXERCISE, instruction, Cstring,
-&gt; NOT MATCH</t>
  </si>
  <si>
    <t>ERROR:
-&gt; property is different from var</t>
  </si>
  <si>
    <t xml:space="preserve">ERROR:
-&gt; VIDEO - wrong spelling of Language </t>
  </si>
</sst>
</file>

<file path=xl/styles.xml><?xml version="1.0" encoding="utf-8"?>
<styleSheet xmlns="http://schemas.openxmlformats.org/spreadsheetml/2006/main" xmlns:mc="http://schemas.openxmlformats.org/markup-compatibility/2006" xmlns:x14ac="http://schemas.microsoft.com/office/spreadsheetml/2009/9/ac" mc:Ignorable="x14ac">
  <fonts count="44" x14ac:knownFonts="1">
    <font>
      <sz val="11"/>
      <color theme="1"/>
      <name val="Calibri"/>
      <family val="2"/>
      <scheme val="minor"/>
    </font>
    <font>
      <b/>
      <sz val="11"/>
      <color theme="1"/>
      <name val="Calibri"/>
      <family val="2"/>
      <scheme val="minor"/>
    </font>
    <font>
      <sz val="9"/>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b/>
      <sz val="11"/>
      <name val="Calibri"/>
      <family val="2"/>
      <scheme val="minor"/>
    </font>
    <font>
      <sz val="11"/>
      <color rgb="FF0070C0"/>
      <name val="Calibri"/>
      <family val="2"/>
      <scheme val="minor"/>
    </font>
    <font>
      <u/>
      <sz val="11"/>
      <color theme="10"/>
      <name val="Calibri"/>
      <family val="2"/>
      <scheme val="minor"/>
    </font>
    <font>
      <sz val="11"/>
      <color rgb="FF00B050"/>
      <name val="Calibri"/>
      <family val="2"/>
      <scheme val="minor"/>
    </font>
    <font>
      <b/>
      <sz val="11"/>
      <color rgb="FF0070C0"/>
      <name val="Calibri"/>
      <family val="2"/>
      <scheme val="minor"/>
    </font>
    <font>
      <b/>
      <sz val="11"/>
      <color rgb="FF00B050"/>
      <name val="Calibri"/>
      <family val="2"/>
      <scheme val="minor"/>
    </font>
    <font>
      <sz val="11"/>
      <color rgb="FF7030A0"/>
      <name val="Calibri"/>
      <family val="2"/>
      <scheme val="minor"/>
    </font>
    <font>
      <b/>
      <sz val="11"/>
      <color rgb="FF7030A0"/>
      <name val="Calibri"/>
      <family val="2"/>
      <scheme val="minor"/>
    </font>
    <font>
      <sz val="11"/>
      <color rgb="FFC00000"/>
      <name val="Calibri"/>
      <family val="2"/>
      <scheme val="minor"/>
    </font>
    <font>
      <sz val="11"/>
      <color rgb="FF00B0F0"/>
      <name val="Calibri"/>
      <family val="2"/>
      <scheme val="minor"/>
    </font>
    <font>
      <sz val="11"/>
      <color rgb="FFFFFF00"/>
      <name val="Calibri"/>
      <family val="2"/>
      <scheme val="minor"/>
    </font>
    <font>
      <sz val="11"/>
      <color rgb="FFFFC000"/>
      <name val="Calibri"/>
      <family val="2"/>
      <scheme val="minor"/>
    </font>
    <font>
      <sz val="11"/>
      <color rgb="FF00B050"/>
      <name val="Calibri"/>
      <family val="2"/>
    </font>
    <font>
      <sz val="11"/>
      <color rgb="FFC00000"/>
      <name val="Calibri"/>
      <family val="2"/>
    </font>
    <font>
      <sz val="11"/>
      <color rgb="FF7030A0"/>
      <name val="Calibri"/>
      <family val="2"/>
    </font>
    <font>
      <sz val="11"/>
      <color rgb="FFFFFFFF"/>
      <name val="Calibri"/>
      <family val="2"/>
    </font>
    <font>
      <sz val="9"/>
      <color rgb="FF000000"/>
      <name val="Calibri"/>
      <family val="2"/>
    </font>
    <font>
      <sz val="9"/>
      <color rgb="FFFF0000"/>
      <name val="Calibri"/>
      <family val="2"/>
      <scheme val="minor"/>
    </font>
    <font>
      <strike/>
      <sz val="9"/>
      <color rgb="FFFF0000"/>
      <name val="Calibri"/>
      <family val="2"/>
      <scheme val="minor"/>
    </font>
    <font>
      <sz val="9"/>
      <color rgb="FFC00000"/>
      <name val="Calibri"/>
      <family val="2"/>
      <scheme val="minor"/>
    </font>
    <font>
      <u/>
      <sz val="11"/>
      <color rgb="FF00B050"/>
      <name val="Calibri"/>
      <family val="2"/>
      <scheme val="minor"/>
    </font>
    <font>
      <strike/>
      <sz val="9"/>
      <color rgb="FFC00000"/>
      <name val="Calibri"/>
      <family val="2"/>
      <scheme val="minor"/>
    </font>
    <font>
      <sz val="9"/>
      <color theme="6" tint="-0.249977111117893"/>
      <name val="Calibri"/>
      <family val="2"/>
      <scheme val="minor"/>
    </font>
    <font>
      <sz val="9"/>
      <color theme="0"/>
      <name val="Calibri"/>
      <family val="2"/>
      <scheme val="minor"/>
    </font>
    <font>
      <sz val="11"/>
      <color theme="3" tint="-0.499984740745262"/>
      <name val="Calibri"/>
      <family val="2"/>
      <scheme val="minor"/>
    </font>
    <font>
      <sz val="11"/>
      <color theme="4" tint="0.59999389629810485"/>
      <name val="Calibri"/>
      <family val="2"/>
      <scheme val="minor"/>
    </font>
    <font>
      <sz val="11"/>
      <color theme="4" tint="-0.499984740745262"/>
      <name val="Calibri"/>
      <family val="2"/>
      <scheme val="minor"/>
    </font>
    <font>
      <sz val="11"/>
      <color theme="5" tint="0.59999389629810485"/>
      <name val="Calibri"/>
      <family val="2"/>
      <scheme val="minor"/>
    </font>
    <font>
      <sz val="11"/>
      <color theme="2" tint="-0.499984740745262"/>
      <name val="Calibri"/>
      <family val="2"/>
      <scheme val="minor"/>
    </font>
    <font>
      <sz val="11"/>
      <color theme="6" tint="-0.249977111117893"/>
      <name val="Calibri"/>
      <family val="2"/>
      <scheme val="minor"/>
    </font>
    <font>
      <sz val="11"/>
      <color theme="9" tint="0.749992370372631"/>
      <name val="Calibri"/>
      <family val="2"/>
      <scheme val="minor"/>
    </font>
    <font>
      <sz val="11"/>
      <color theme="0" tint="-0.34998626667073579"/>
      <name val="Calibri"/>
      <family val="2"/>
      <scheme val="minor"/>
    </font>
    <font>
      <u/>
      <sz val="11"/>
      <color theme="0"/>
      <name val="Calibri"/>
      <family val="2"/>
      <scheme val="minor"/>
    </font>
    <font>
      <u/>
      <sz val="11"/>
      <color theme="6" tint="-0.249977111117893"/>
      <name val="Calibri"/>
      <family val="2"/>
      <scheme val="minor"/>
    </font>
    <font>
      <b/>
      <u/>
      <sz val="11"/>
      <color theme="6" tint="-0.249977111117893"/>
      <name val="Calibri"/>
      <family val="2"/>
      <scheme val="minor"/>
    </font>
    <font>
      <b/>
      <u/>
      <sz val="11"/>
      <color rgb="FF7030A0"/>
      <name val="Calibri"/>
      <family val="2"/>
      <scheme val="minor"/>
    </font>
    <font>
      <u/>
      <sz val="11"/>
      <color rgb="FF7030A0"/>
      <name val="Calibri"/>
      <family val="2"/>
      <scheme val="minor"/>
    </font>
    <font>
      <sz val="11"/>
      <color theme="5"/>
      <name val="Calibri"/>
      <family val="2"/>
      <scheme val="minor"/>
    </font>
  </fonts>
  <fills count="17">
    <fill>
      <patternFill patternType="none"/>
    </fill>
    <fill>
      <patternFill patternType="gray125"/>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rgb="FFFF0000"/>
        <bgColor indexed="64"/>
      </patternFill>
    </fill>
    <fill>
      <patternFill patternType="solid">
        <fgColor theme="0" tint="-0.14999847407452621"/>
        <bgColor indexed="64"/>
      </patternFill>
    </fill>
    <fill>
      <patternFill patternType="solid">
        <fgColor theme="1"/>
        <bgColor indexed="64"/>
      </patternFill>
    </fill>
    <fill>
      <patternFill patternType="solid">
        <fgColor theme="5" tint="0.39997558519241921"/>
        <bgColor indexed="64"/>
      </patternFill>
    </fill>
    <fill>
      <patternFill patternType="solid">
        <fgColor theme="9" tint="0.749992370372631"/>
        <bgColor indexed="64"/>
      </patternFill>
    </fill>
    <fill>
      <patternFill patternType="solid">
        <fgColor theme="2" tint="-0.499984740745262"/>
        <bgColor indexed="64"/>
      </patternFill>
    </fill>
    <fill>
      <patternFill patternType="solid">
        <fgColor rgb="FFC00000"/>
        <bgColor indexed="64"/>
      </patternFill>
    </fill>
    <fill>
      <patternFill patternType="solid">
        <fgColor theme="1" tint="4.9989318521683403E-2"/>
        <bgColor indexed="64"/>
      </patternFill>
    </fill>
    <fill>
      <patternFill patternType="solid">
        <fgColor theme="7" tint="-0.249977111117893"/>
        <bgColor indexed="64"/>
      </patternFill>
    </fill>
    <fill>
      <patternFill patternType="solid">
        <fgColor rgb="FF0070C0"/>
        <bgColor indexed="64"/>
      </patternFill>
    </fill>
    <fill>
      <patternFill patternType="solid">
        <fgColor theme="0"/>
        <bgColor indexed="64"/>
      </patternFill>
    </fill>
    <fill>
      <patternFill patternType="solid">
        <fgColor theme="0" tint="-0.499984740745262"/>
        <bgColor indexed="64"/>
      </patternFill>
    </fill>
  </fills>
  <borders count="12">
    <border>
      <left/>
      <right/>
      <top/>
      <bottom/>
      <diagonal/>
    </border>
    <border>
      <left style="thin">
        <color auto="1"/>
      </left>
      <right style="thin">
        <color auto="1"/>
      </right>
      <top style="thin">
        <color auto="1"/>
      </top>
      <bottom style="thin">
        <color auto="1"/>
      </bottom>
      <diagonal/>
    </border>
    <border>
      <left style="thin">
        <color auto="1"/>
      </left>
      <right/>
      <top/>
      <bottom/>
      <diagonal/>
    </border>
    <border>
      <left style="thin">
        <color rgb="FF000000"/>
      </left>
      <right style="thin">
        <color rgb="FF000000"/>
      </right>
      <top style="thin">
        <color rgb="FF000000"/>
      </top>
      <bottom style="thin">
        <color rgb="FF000000"/>
      </bottom>
      <diagonal/>
    </border>
    <border>
      <left style="thin">
        <color rgb="FF000000"/>
      </left>
      <right/>
      <top/>
      <bottom/>
      <diagonal/>
    </border>
    <border>
      <left/>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diagonal/>
    </border>
  </borders>
  <cellStyleXfs count="2">
    <xf numFmtId="0" fontId="0" fillId="0" borderId="0"/>
    <xf numFmtId="0" fontId="8" fillId="0" borderId="0" applyNumberFormat="0" applyFill="0" applyBorder="0" applyAlignment="0" applyProtection="0"/>
  </cellStyleXfs>
  <cellXfs count="250">
    <xf numFmtId="0" fontId="0" fillId="0" borderId="0" xfId="0"/>
    <xf numFmtId="0" fontId="0" fillId="0" borderId="0" xfId="0" applyAlignment="1">
      <alignment vertical="center"/>
    </xf>
    <xf numFmtId="0" fontId="0" fillId="0" borderId="0" xfId="0" applyAlignment="1">
      <alignment horizontal="center" vertical="center"/>
    </xf>
    <xf numFmtId="0" fontId="0" fillId="0" borderId="0" xfId="0" applyAlignment="1">
      <alignment vertical="top"/>
    </xf>
    <xf numFmtId="0" fontId="0" fillId="0" borderId="0" xfId="0" applyAlignment="1">
      <alignment vertical="top" wrapText="1"/>
    </xf>
    <xf numFmtId="0" fontId="0" fillId="0" borderId="0" xfId="0" applyFill="1" applyAlignment="1">
      <alignment horizontal="center" vertical="center"/>
    </xf>
    <xf numFmtId="0" fontId="0" fillId="4" borderId="0" xfId="0" applyFill="1"/>
    <xf numFmtId="0" fontId="0" fillId="5" borderId="0" xfId="0" applyFill="1"/>
    <xf numFmtId="0" fontId="0" fillId="0" borderId="0" xfId="0" applyFill="1"/>
    <xf numFmtId="0" fontId="0" fillId="2" borderId="0" xfId="0" applyFill="1"/>
    <xf numFmtId="0" fontId="1" fillId="0" borderId="0" xfId="0" applyFont="1" applyAlignment="1">
      <alignment vertical="center"/>
    </xf>
    <xf numFmtId="0" fontId="1" fillId="0" borderId="0" xfId="0" applyFont="1" applyFill="1"/>
    <xf numFmtId="0" fontId="1" fillId="0" borderId="0" xfId="0" applyFont="1"/>
    <xf numFmtId="0" fontId="2" fillId="0" borderId="0" xfId="0" applyFont="1" applyAlignment="1">
      <alignment vertical="center" wrapText="1"/>
    </xf>
    <xf numFmtId="0" fontId="2" fillId="0" borderId="0" xfId="0" applyFont="1"/>
    <xf numFmtId="0" fontId="3" fillId="7" borderId="0" xfId="0" applyFont="1" applyFill="1" applyAlignment="1">
      <alignment horizontal="center" vertical="center" wrapText="1"/>
    </xf>
    <xf numFmtId="0" fontId="0" fillId="0" borderId="0" xfId="0" applyAlignment="1">
      <alignment vertical="top"/>
    </xf>
    <xf numFmtId="0" fontId="0" fillId="0" borderId="0" xfId="0" applyAlignment="1">
      <alignment vertical="top" wrapText="1"/>
    </xf>
    <xf numFmtId="0" fontId="0" fillId="2" borderId="0" xfId="0" applyFill="1"/>
    <xf numFmtId="0" fontId="3" fillId="7" borderId="0" xfId="0" applyFont="1" applyFill="1" applyAlignment="1">
      <alignment horizontal="center" vertical="center"/>
    </xf>
    <xf numFmtId="0" fontId="7" fillId="0" borderId="0" xfId="0" applyFont="1" applyAlignment="1">
      <alignment horizontal="center" vertical="center" wrapText="1"/>
    </xf>
    <xf numFmtId="0" fontId="2" fillId="0" borderId="0" xfId="0" applyFont="1" applyAlignment="1">
      <alignment horizontal="center" vertical="center"/>
    </xf>
    <xf numFmtId="0" fontId="5" fillId="0" borderId="0" xfId="0" applyFont="1" applyAlignment="1">
      <alignment vertical="top" wrapText="1"/>
    </xf>
    <xf numFmtId="0" fontId="10" fillId="0" borderId="0" xfId="0" applyFont="1" applyAlignment="1">
      <alignment horizontal="center" vertical="center" wrapText="1"/>
    </xf>
    <xf numFmtId="0" fontId="6" fillId="0" borderId="0" xfId="0" applyFont="1" applyAlignment="1">
      <alignment horizontal="center" vertical="center" wrapText="1"/>
    </xf>
    <xf numFmtId="0" fontId="4" fillId="0" borderId="0" xfId="0" applyFont="1" applyAlignment="1">
      <alignment horizontal="center" vertical="center" wrapText="1"/>
    </xf>
    <xf numFmtId="0" fontId="3" fillId="7" borderId="1" xfId="0" applyFont="1" applyFill="1" applyBorder="1" applyAlignment="1">
      <alignment horizontal="center" vertical="center"/>
    </xf>
    <xf numFmtId="0" fontId="2" fillId="0" borderId="1" xfId="0" applyFont="1" applyBorder="1" applyAlignment="1">
      <alignment horizontal="center" vertical="center"/>
    </xf>
    <xf numFmtId="0" fontId="0" fillId="0" borderId="0" xfId="0" applyFont="1" applyAlignment="1">
      <alignment horizontal="left" vertical="center" wrapText="1"/>
    </xf>
    <xf numFmtId="0" fontId="1" fillId="0" borderId="0" xfId="0" applyFont="1" applyAlignment="1">
      <alignment horizontal="center" vertical="center" wrapText="1"/>
    </xf>
    <xf numFmtId="0" fontId="14" fillId="0" borderId="0" xfId="0" applyFont="1" applyAlignment="1">
      <alignment horizontal="left" vertical="top" wrapText="1"/>
    </xf>
    <xf numFmtId="0" fontId="9" fillId="0" borderId="0" xfId="0" applyFont="1" applyAlignment="1">
      <alignment horizontal="left" vertical="top" wrapText="1"/>
    </xf>
    <xf numFmtId="0" fontId="8" fillId="0" borderId="0" xfId="1" applyFont="1" applyAlignment="1">
      <alignment horizontal="center" vertical="center" wrapText="1"/>
    </xf>
    <xf numFmtId="0" fontId="8" fillId="0" borderId="0" xfId="1" applyFont="1" applyAlignment="1">
      <alignment horizontal="center" vertical="center"/>
    </xf>
    <xf numFmtId="0" fontId="8" fillId="0" borderId="0" xfId="1" applyAlignment="1">
      <alignment horizontal="center" vertical="center"/>
    </xf>
    <xf numFmtId="0" fontId="8" fillId="0" borderId="0" xfId="1" applyAlignment="1">
      <alignment horizontal="center" vertical="center" wrapText="1"/>
    </xf>
    <xf numFmtId="0" fontId="0" fillId="0" borderId="0" xfId="0" applyFont="1" applyAlignment="1">
      <alignment horizontal="left" vertical="top" wrapText="1"/>
    </xf>
    <xf numFmtId="0" fontId="1" fillId="0" borderId="0" xfId="0" applyFont="1" applyFill="1" applyAlignment="1">
      <alignment horizontal="center" vertical="top" wrapText="1"/>
    </xf>
    <xf numFmtId="0" fontId="0" fillId="0" borderId="0" xfId="0" applyAlignment="1">
      <alignment horizontal="center"/>
    </xf>
    <xf numFmtId="0" fontId="9" fillId="0" borderId="0" xfId="0" applyFont="1"/>
    <xf numFmtId="0" fontId="14" fillId="0" borderId="0" xfId="0" applyFont="1"/>
    <xf numFmtId="0" fontId="17" fillId="0" borderId="0" xfId="0" applyFont="1"/>
    <xf numFmtId="10" fontId="9" fillId="0" borderId="0" xfId="0" applyNumberFormat="1" applyFont="1"/>
    <xf numFmtId="10" fontId="17" fillId="0" borderId="0" xfId="0" applyNumberFormat="1" applyFont="1"/>
    <xf numFmtId="10" fontId="14" fillId="0" borderId="0" xfId="0" applyNumberFormat="1" applyFont="1"/>
    <xf numFmtId="0" fontId="0" fillId="0" borderId="0" xfId="0" applyAlignment="1">
      <alignment horizontal="right"/>
    </xf>
    <xf numFmtId="0" fontId="9" fillId="0" borderId="0" xfId="0" applyFont="1" applyAlignment="1">
      <alignment horizontal="right"/>
    </xf>
    <xf numFmtId="0" fontId="14" fillId="0" borderId="0" xfId="0" applyFont="1" applyAlignment="1">
      <alignment horizontal="right"/>
    </xf>
    <xf numFmtId="0" fontId="16" fillId="0" borderId="0" xfId="0" applyFont="1" applyAlignment="1">
      <alignment horizontal="right"/>
    </xf>
    <xf numFmtId="0" fontId="15" fillId="0" borderId="0" xfId="0" applyFont="1" applyAlignment="1">
      <alignment horizontal="right"/>
    </xf>
    <xf numFmtId="10" fontId="16" fillId="0" borderId="0" xfId="0" applyNumberFormat="1" applyFont="1" applyAlignment="1">
      <alignment horizontal="right"/>
    </xf>
    <xf numFmtId="10" fontId="9" fillId="0" borderId="0" xfId="0" applyNumberFormat="1" applyFont="1" applyAlignment="1">
      <alignment horizontal="right"/>
    </xf>
    <xf numFmtId="10" fontId="14" fillId="0" borderId="0" xfId="0" applyNumberFormat="1" applyFont="1" applyAlignment="1">
      <alignment horizontal="right"/>
    </xf>
    <xf numFmtId="10" fontId="15" fillId="0" borderId="0" xfId="0" applyNumberFormat="1" applyFont="1" applyAlignment="1">
      <alignment horizontal="right"/>
    </xf>
    <xf numFmtId="0" fontId="0" fillId="8" borderId="0" xfId="0" applyFill="1" applyAlignment="1">
      <alignment horizontal="center" vertical="center"/>
    </xf>
    <xf numFmtId="0" fontId="18" fillId="0" borderId="0" xfId="0" applyFont="1" applyAlignment="1">
      <alignment horizontal="left" vertical="top" wrapText="1"/>
    </xf>
    <xf numFmtId="0" fontId="21" fillId="0" borderId="0" xfId="0" applyFont="1" applyAlignment="1">
      <alignment horizontal="center" vertical="center" wrapText="1"/>
    </xf>
    <xf numFmtId="0" fontId="0" fillId="0" borderId="0" xfId="0" applyFont="1" applyAlignment="1"/>
    <xf numFmtId="0" fontId="22" fillId="0" borderId="0" xfId="0" applyFont="1" applyAlignment="1">
      <alignment vertical="center" wrapText="1"/>
    </xf>
    <xf numFmtId="0" fontId="22" fillId="0" borderId="3" xfId="0" applyFont="1" applyBorder="1" applyAlignment="1">
      <alignment horizontal="center" vertical="center"/>
    </xf>
    <xf numFmtId="14" fontId="9" fillId="0" borderId="0" xfId="0" applyNumberFormat="1" applyFont="1" applyAlignment="1">
      <alignment horizontal="center" vertical="center" wrapText="1"/>
    </xf>
    <xf numFmtId="14" fontId="12" fillId="0" borderId="0" xfId="0" applyNumberFormat="1" applyFont="1" applyFill="1" applyAlignment="1">
      <alignment horizontal="center" vertical="center" wrapText="1"/>
    </xf>
    <xf numFmtId="14" fontId="13" fillId="0" borderId="0" xfId="0" applyNumberFormat="1" applyFont="1" applyAlignment="1">
      <alignment horizontal="center" vertical="center" wrapText="1"/>
    </xf>
    <xf numFmtId="14" fontId="11" fillId="0" borderId="0" xfId="0" applyNumberFormat="1" applyFont="1" applyAlignment="1">
      <alignment horizontal="center" vertical="center" wrapText="1"/>
    </xf>
    <xf numFmtId="14" fontId="3" fillId="7" borderId="0" xfId="0" applyNumberFormat="1" applyFont="1" applyFill="1" applyAlignment="1">
      <alignment horizontal="center" vertical="center"/>
    </xf>
    <xf numFmtId="14" fontId="12" fillId="0" borderId="0" xfId="0" applyNumberFormat="1" applyFont="1" applyAlignment="1">
      <alignment horizontal="center" vertical="center"/>
    </xf>
    <xf numFmtId="14" fontId="9" fillId="0" borderId="0" xfId="0" applyNumberFormat="1" applyFont="1" applyFill="1" applyAlignment="1">
      <alignment horizontal="center" vertical="center"/>
    </xf>
    <xf numFmtId="14" fontId="9" fillId="0" borderId="0" xfId="0" applyNumberFormat="1" applyFont="1" applyAlignment="1">
      <alignment horizontal="center" vertical="center"/>
    </xf>
    <xf numFmtId="0" fontId="3" fillId="7" borderId="0" xfId="0" applyNumberFormat="1" applyFont="1" applyFill="1" applyAlignment="1">
      <alignment horizontal="center" vertical="center" wrapText="1"/>
    </xf>
    <xf numFmtId="0" fontId="23" fillId="0" borderId="0" xfId="0" applyNumberFormat="1" applyFont="1" applyAlignment="1">
      <alignment horizontal="left" vertical="center" wrapText="1"/>
    </xf>
    <xf numFmtId="14" fontId="12" fillId="0" borderId="0" xfId="0" applyNumberFormat="1" applyFont="1" applyAlignment="1">
      <alignment horizontal="center" vertical="center" wrapText="1"/>
    </xf>
    <xf numFmtId="14" fontId="9" fillId="0" borderId="0" xfId="0" applyNumberFormat="1" applyFont="1" applyAlignment="1">
      <alignment horizontal="center" vertical="center"/>
    </xf>
    <xf numFmtId="0" fontId="25" fillId="0" borderId="0" xfId="0" applyFont="1" applyAlignment="1">
      <alignment vertical="center" wrapText="1"/>
    </xf>
    <xf numFmtId="14" fontId="9" fillId="0" borderId="0" xfId="0" applyNumberFormat="1" applyFont="1" applyAlignment="1">
      <alignment horizontal="center" vertical="center"/>
    </xf>
    <xf numFmtId="0" fontId="8" fillId="0" borderId="0" xfId="1" applyAlignment="1">
      <alignment horizontal="center" vertical="center"/>
    </xf>
    <xf numFmtId="0" fontId="26" fillId="0" borderId="0" xfId="1" applyFont="1" applyAlignment="1">
      <alignment horizontal="left" vertical="top" wrapText="1"/>
    </xf>
    <xf numFmtId="0" fontId="8" fillId="0" borderId="0" xfId="1" applyAlignment="1">
      <alignment horizontal="center" vertical="center"/>
    </xf>
    <xf numFmtId="0" fontId="9" fillId="0" borderId="0" xfId="0" applyFont="1" applyAlignment="1">
      <alignment horizontal="left" vertical="top" wrapText="1"/>
    </xf>
    <xf numFmtId="0" fontId="9" fillId="0" borderId="0" xfId="0" applyFont="1" applyAlignment="1">
      <alignment horizontal="left" vertical="top" wrapText="1"/>
    </xf>
    <xf numFmtId="0" fontId="8" fillId="0" borderId="2" xfId="1" applyBorder="1" applyAlignment="1">
      <alignment horizontal="center" vertical="center"/>
    </xf>
    <xf numFmtId="14" fontId="12" fillId="0" borderId="0" xfId="0" applyNumberFormat="1" applyFont="1" applyAlignment="1">
      <alignment horizontal="center" vertical="center"/>
    </xf>
    <xf numFmtId="0" fontId="8" fillId="0" borderId="0" xfId="1" applyAlignment="1">
      <alignment horizontal="center" vertical="center"/>
    </xf>
    <xf numFmtId="0" fontId="9" fillId="0" borderId="0" xfId="0" applyFont="1" applyAlignment="1">
      <alignment horizontal="left" vertical="top" wrapText="1"/>
    </xf>
    <xf numFmtId="0" fontId="0" fillId="0" borderId="0" xfId="0" applyAlignment="1">
      <alignment horizontal="center" vertical="center"/>
    </xf>
    <xf numFmtId="0" fontId="8" fillId="0" borderId="0" xfId="1" applyAlignment="1">
      <alignment horizontal="center" vertical="center"/>
    </xf>
    <xf numFmtId="0" fontId="9" fillId="0" borderId="0" xfId="0" applyFont="1" applyAlignment="1">
      <alignment horizontal="left" vertical="top" wrapText="1"/>
    </xf>
    <xf numFmtId="0" fontId="9" fillId="0" borderId="0" xfId="0" applyFont="1" applyAlignment="1">
      <alignment horizontal="left" vertical="top" wrapText="1"/>
    </xf>
    <xf numFmtId="0" fontId="8" fillId="0" borderId="0" xfId="1" applyAlignment="1">
      <alignment horizontal="center" vertical="center"/>
    </xf>
    <xf numFmtId="0" fontId="9" fillId="0" borderId="0" xfId="0" applyFont="1" applyAlignment="1">
      <alignment horizontal="left" vertical="top" wrapText="1"/>
    </xf>
    <xf numFmtId="14" fontId="9" fillId="0" borderId="0" xfId="0" applyNumberFormat="1" applyFont="1" applyAlignment="1">
      <alignment horizontal="center" vertical="center"/>
    </xf>
    <xf numFmtId="0" fontId="14" fillId="0" borderId="0" xfId="0" applyFont="1" applyAlignment="1">
      <alignment horizontal="left" vertical="top" wrapText="1"/>
    </xf>
    <xf numFmtId="0" fontId="14" fillId="0" borderId="0" xfId="0" applyFont="1" applyAlignment="1">
      <alignment horizontal="left" vertical="top" wrapText="1"/>
    </xf>
    <xf numFmtId="0" fontId="14" fillId="0" borderId="0" xfId="0" applyFont="1" applyAlignment="1">
      <alignment horizontal="left" vertical="top" wrapText="1"/>
    </xf>
    <xf numFmtId="0" fontId="0" fillId="0" borderId="0" xfId="0" applyAlignment="1">
      <alignment horizontal="center" vertical="center"/>
    </xf>
    <xf numFmtId="14" fontId="9" fillId="0" borderId="0" xfId="0" applyNumberFormat="1" applyFont="1" applyAlignment="1">
      <alignment horizontal="center" vertical="center"/>
    </xf>
    <xf numFmtId="0" fontId="0" fillId="0" borderId="0" xfId="0" applyAlignment="1">
      <alignment wrapText="1"/>
    </xf>
    <xf numFmtId="0" fontId="0" fillId="0" borderId="0" xfId="0" applyAlignment="1">
      <alignment horizontal="center" vertical="center" wrapText="1"/>
    </xf>
    <xf numFmtId="0" fontId="24" fillId="0" borderId="0" xfId="0" applyNumberFormat="1" applyFont="1" applyAlignment="1">
      <alignment horizontal="center" vertical="center" wrapText="1"/>
    </xf>
    <xf numFmtId="0" fontId="14" fillId="0" borderId="0" xfId="0" applyFont="1" applyAlignment="1">
      <alignment horizontal="left" vertical="top" wrapText="1"/>
    </xf>
    <xf numFmtId="0" fontId="27" fillId="0" borderId="0" xfId="0" applyNumberFormat="1" applyFont="1" applyAlignment="1">
      <alignment horizontal="center" vertical="center" wrapText="1"/>
    </xf>
    <xf numFmtId="0" fontId="28" fillId="0" borderId="0" xfId="0" applyFont="1" applyAlignment="1">
      <alignment vertical="center" wrapText="1"/>
    </xf>
    <xf numFmtId="0" fontId="14" fillId="0" borderId="0" xfId="0" applyFont="1" applyAlignment="1">
      <alignment horizontal="left" vertical="top" wrapText="1"/>
    </xf>
    <xf numFmtId="14" fontId="9" fillId="0" borderId="0" xfId="0" applyNumberFormat="1" applyFont="1" applyAlignment="1">
      <alignment horizontal="center" vertical="center"/>
    </xf>
    <xf numFmtId="14" fontId="9" fillId="0" borderId="0" xfId="0" applyNumberFormat="1" applyFont="1" applyAlignment="1">
      <alignment horizontal="center" vertical="center"/>
    </xf>
    <xf numFmtId="0" fontId="14" fillId="0" borderId="0" xfId="0" applyFont="1" applyAlignment="1">
      <alignment horizontal="left" vertical="top" wrapText="1"/>
    </xf>
    <xf numFmtId="14" fontId="9" fillId="0" borderId="0" xfId="0" applyNumberFormat="1" applyFont="1" applyAlignment="1">
      <alignment horizontal="center" vertical="center"/>
    </xf>
    <xf numFmtId="0" fontId="14" fillId="0" borderId="0" xfId="0" applyFont="1" applyAlignment="1">
      <alignment horizontal="left" vertical="top" wrapText="1"/>
    </xf>
    <xf numFmtId="14" fontId="9" fillId="0" borderId="0" xfId="0" applyNumberFormat="1" applyFont="1" applyFill="1" applyAlignment="1">
      <alignment horizontal="center" vertical="center"/>
    </xf>
    <xf numFmtId="14" fontId="12" fillId="0" borderId="0" xfId="0" applyNumberFormat="1" applyFont="1" applyFill="1" applyAlignment="1">
      <alignment horizontal="center" vertical="center"/>
    </xf>
    <xf numFmtId="0" fontId="9" fillId="0" borderId="0" xfId="0" applyFont="1" applyAlignment="1">
      <alignment horizontal="left" vertical="top" wrapText="1"/>
    </xf>
    <xf numFmtId="0" fontId="29" fillId="11" borderId="0" xfId="0" applyFont="1" applyFill="1" applyAlignment="1">
      <alignment vertical="center" wrapText="1"/>
    </xf>
    <xf numFmtId="0" fontId="2" fillId="0" borderId="0" xfId="0" applyFont="1" applyFill="1" applyAlignment="1">
      <alignment vertical="center" wrapText="1"/>
    </xf>
    <xf numFmtId="0" fontId="2" fillId="0" borderId="1" xfId="0" applyFont="1" applyFill="1" applyBorder="1" applyAlignment="1">
      <alignment horizontal="center" vertical="center"/>
    </xf>
    <xf numFmtId="0" fontId="8" fillId="0" borderId="0" xfId="1" applyFill="1" applyAlignment="1">
      <alignment horizontal="center" vertical="center"/>
    </xf>
    <xf numFmtId="0" fontId="14" fillId="0" borderId="0" xfId="0" applyFont="1" applyAlignment="1">
      <alignment horizontal="left" vertical="top" wrapText="1"/>
    </xf>
    <xf numFmtId="0" fontId="0" fillId="0" borderId="0" xfId="0" applyAlignment="1">
      <alignment horizontal="center" vertical="center"/>
    </xf>
    <xf numFmtId="0" fontId="4" fillId="9" borderId="0" xfId="0" applyFont="1" applyFill="1" applyAlignment="1">
      <alignment horizontal="center" vertical="center"/>
    </xf>
    <xf numFmtId="0" fontId="9" fillId="0" borderId="0" xfId="0" applyFont="1" applyAlignment="1">
      <alignment horizontal="left" vertical="top" wrapText="1"/>
    </xf>
    <xf numFmtId="0" fontId="0" fillId="0" borderId="0" xfId="0" applyAlignment="1">
      <alignment horizontal="center"/>
    </xf>
    <xf numFmtId="0" fontId="0" fillId="0" borderId="0" xfId="0" applyAlignment="1">
      <alignment horizontal="center" vertical="center"/>
    </xf>
    <xf numFmtId="0" fontId="0" fillId="4" borderId="0" xfId="0" applyFill="1" applyAlignment="1">
      <alignment horizontal="center"/>
    </xf>
    <xf numFmtId="0" fontId="4" fillId="12" borderId="0" xfId="0" applyFont="1" applyFill="1" applyAlignment="1">
      <alignment horizontal="center" vertical="center"/>
    </xf>
    <xf numFmtId="0" fontId="30" fillId="0" borderId="0" xfId="0" applyFont="1"/>
    <xf numFmtId="0" fontId="31" fillId="0" borderId="0" xfId="0" applyFont="1"/>
    <xf numFmtId="0" fontId="32" fillId="0" borderId="0" xfId="0" applyFont="1"/>
    <xf numFmtId="0" fontId="33" fillId="0" borderId="0" xfId="0" applyFont="1"/>
    <xf numFmtId="10" fontId="0" fillId="0" borderId="0" xfId="0" applyNumberFormat="1"/>
    <xf numFmtId="10" fontId="32" fillId="0" borderId="0" xfId="0" applyNumberFormat="1" applyFont="1"/>
    <xf numFmtId="0" fontId="34" fillId="0" borderId="0" xfId="0" applyFont="1"/>
    <xf numFmtId="10" fontId="34" fillId="0" borderId="0" xfId="0" applyNumberFormat="1" applyFont="1"/>
    <xf numFmtId="10" fontId="30" fillId="0" borderId="0" xfId="0" applyNumberFormat="1" applyFont="1"/>
    <xf numFmtId="0" fontId="12" fillId="0" borderId="0" xfId="0" applyFont="1"/>
    <xf numFmtId="10" fontId="12" fillId="0" borderId="0" xfId="0" applyNumberFormat="1" applyFont="1"/>
    <xf numFmtId="0" fontId="36" fillId="0" borderId="0" xfId="0" applyFont="1"/>
    <xf numFmtId="10" fontId="36" fillId="0" borderId="0" xfId="0" applyNumberFormat="1" applyFont="1"/>
    <xf numFmtId="10" fontId="31" fillId="0" borderId="0" xfId="0" applyNumberFormat="1" applyFont="1"/>
    <xf numFmtId="0" fontId="37" fillId="0" borderId="0" xfId="0" applyFont="1"/>
    <xf numFmtId="10" fontId="37" fillId="0" borderId="0" xfId="0" applyNumberFormat="1" applyFont="1"/>
    <xf numFmtId="10" fontId="33" fillId="0" borderId="0" xfId="0" applyNumberFormat="1" applyFont="1"/>
    <xf numFmtId="0" fontId="4" fillId="12" borderId="0" xfId="0" applyFont="1" applyFill="1" applyAlignment="1">
      <alignment horizontal="center" vertical="center" wrapText="1"/>
    </xf>
    <xf numFmtId="0" fontId="7"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4" fillId="7" borderId="0" xfId="0" applyFont="1" applyFill="1" applyAlignment="1">
      <alignment horizontal="center" vertical="center"/>
    </xf>
    <xf numFmtId="0" fontId="4" fillId="0" borderId="0" xfId="0" applyFont="1" applyAlignment="1">
      <alignment horizontal="center" vertical="center"/>
    </xf>
    <xf numFmtId="0" fontId="0" fillId="0" borderId="0" xfId="0" applyAlignment="1">
      <alignment horizontal="center" vertical="center"/>
    </xf>
    <xf numFmtId="0" fontId="14" fillId="0" borderId="0" xfId="0" applyFont="1" applyAlignment="1">
      <alignment horizontal="left" vertical="top" wrapText="1"/>
    </xf>
    <xf numFmtId="0" fontId="0" fillId="0" borderId="0" xfId="0" applyAlignment="1">
      <alignment horizontal="center" vertical="center"/>
    </xf>
    <xf numFmtId="0" fontId="35" fillId="0" borderId="0" xfId="0" applyFont="1" applyAlignment="1">
      <alignment horizontal="left" vertical="top" wrapText="1"/>
    </xf>
    <xf numFmtId="0" fontId="4" fillId="14" borderId="1" xfId="0" applyFont="1" applyFill="1" applyBorder="1" applyAlignment="1">
      <alignment horizontal="center" vertical="center"/>
    </xf>
    <xf numFmtId="0" fontId="12" fillId="0" borderId="0" xfId="0" applyFont="1" applyAlignment="1">
      <alignment horizontal="left" vertical="top" wrapText="1"/>
    </xf>
    <xf numFmtId="0" fontId="0" fillId="0" borderId="0" xfId="0" applyAlignment="1">
      <alignment horizontal="center" vertical="center"/>
    </xf>
    <xf numFmtId="0" fontId="0" fillId="0" borderId="0" xfId="0" applyAlignment="1">
      <alignment horizontal="center" vertical="center"/>
    </xf>
    <xf numFmtId="0" fontId="4" fillId="14" borderId="1" xfId="0" applyFont="1" applyFill="1" applyBorder="1" applyAlignment="1">
      <alignment horizontal="center" vertical="center"/>
    </xf>
    <xf numFmtId="0" fontId="12" fillId="9" borderId="0" xfId="0" applyFont="1" applyFill="1" applyAlignment="1">
      <alignment horizontal="left" vertical="top" wrapText="1"/>
    </xf>
    <xf numFmtId="0" fontId="12" fillId="0" borderId="0" xfId="0" applyFont="1" applyAlignment="1">
      <alignment horizontal="left" vertical="top" wrapText="1"/>
    </xf>
    <xf numFmtId="0" fontId="12" fillId="0" borderId="0" xfId="0" applyFont="1" applyAlignment="1">
      <alignment horizontal="left" vertical="top" wrapText="1"/>
    </xf>
    <xf numFmtId="0" fontId="0" fillId="0" borderId="0" xfId="0" applyAlignment="1">
      <alignment horizontal="center" vertical="center"/>
    </xf>
    <xf numFmtId="0" fontId="12" fillId="0" borderId="0" xfId="0" applyFont="1" applyAlignment="1">
      <alignment horizontal="left" vertical="top" wrapText="1"/>
    </xf>
    <xf numFmtId="0" fontId="14" fillId="4" borderId="0" xfId="0" applyFont="1" applyFill="1" applyAlignment="1">
      <alignment horizontal="left" vertical="top" wrapText="1"/>
    </xf>
    <xf numFmtId="0" fontId="0" fillId="0" borderId="0" xfId="0" applyAlignment="1">
      <alignment horizontal="center" vertical="center"/>
    </xf>
    <xf numFmtId="0" fontId="12" fillId="0" borderId="0" xfId="0" applyFont="1" applyAlignment="1">
      <alignment horizontal="left" vertical="top" wrapText="1"/>
    </xf>
    <xf numFmtId="0" fontId="0" fillId="0" borderId="0" xfId="0" applyAlignment="1">
      <alignment horizontal="center" vertical="center"/>
    </xf>
    <xf numFmtId="0" fontId="0" fillId="0" borderId="0" xfId="0" applyAlignment="1">
      <alignment horizontal="center" vertical="center"/>
    </xf>
    <xf numFmtId="0" fontId="12" fillId="0" borderId="0" xfId="0" applyFont="1" applyAlignment="1">
      <alignment horizontal="left" vertical="top" wrapText="1"/>
    </xf>
    <xf numFmtId="0" fontId="12" fillId="0" borderId="0" xfId="0" applyFont="1" applyAlignment="1">
      <alignment horizontal="left" vertical="top" wrapText="1"/>
    </xf>
    <xf numFmtId="0" fontId="0" fillId="0" borderId="0" xfId="0" applyAlignment="1">
      <alignment horizontal="center" vertical="center"/>
    </xf>
    <xf numFmtId="0" fontId="0" fillId="0" borderId="0" xfId="0" applyAlignment="1">
      <alignment horizontal="center" vertical="center"/>
    </xf>
    <xf numFmtId="0" fontId="12" fillId="0" borderId="0" xfId="0" applyFont="1" applyAlignment="1">
      <alignment horizontal="left" vertical="top" wrapText="1"/>
    </xf>
    <xf numFmtId="14" fontId="4" fillId="14" borderId="0" xfId="0" applyNumberFormat="1" applyFont="1" applyFill="1" applyAlignment="1">
      <alignment horizontal="center" vertical="center"/>
    </xf>
    <xf numFmtId="0" fontId="12" fillId="0" borderId="0" xfId="0" applyFont="1" applyAlignment="1">
      <alignment horizontal="left" vertical="top" wrapText="1"/>
    </xf>
    <xf numFmtId="0" fontId="12" fillId="0" borderId="0" xfId="0" applyFont="1" applyAlignment="1">
      <alignment horizontal="left" vertical="top" wrapText="1"/>
    </xf>
    <xf numFmtId="0" fontId="12" fillId="0" borderId="0" xfId="0" applyFont="1" applyAlignment="1">
      <alignment horizontal="left" vertical="top" wrapText="1"/>
    </xf>
    <xf numFmtId="0" fontId="0" fillId="0" borderId="0" xfId="0" applyAlignment="1">
      <alignment horizontal="center" vertical="center"/>
    </xf>
    <xf numFmtId="0" fontId="12" fillId="0" borderId="1" xfId="0" applyFont="1" applyBorder="1" applyAlignment="1">
      <alignment horizontal="left" vertical="top" wrapText="1"/>
    </xf>
    <xf numFmtId="0" fontId="14" fillId="15" borderId="0" xfId="0" applyFont="1" applyFill="1" applyAlignment="1">
      <alignment horizontal="left" vertical="top" wrapText="1"/>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14" fontId="4" fillId="3" borderId="1" xfId="0" applyNumberFormat="1" applyFont="1" applyFill="1" applyBorder="1" applyAlignment="1">
      <alignment horizontal="center" vertical="center"/>
    </xf>
    <xf numFmtId="0" fontId="12" fillId="0" borderId="0" xfId="0" applyFont="1" applyAlignment="1">
      <alignment horizontal="left" vertical="top" wrapText="1"/>
    </xf>
    <xf numFmtId="14" fontId="4" fillId="3" borderId="9" xfId="0" applyNumberFormat="1" applyFont="1" applyFill="1" applyBorder="1" applyAlignment="1">
      <alignment horizontal="center" vertical="center"/>
    </xf>
    <xf numFmtId="0" fontId="4" fillId="3" borderId="1" xfId="0" applyFont="1" applyFill="1" applyBorder="1" applyAlignment="1">
      <alignment horizontal="center" vertical="center"/>
    </xf>
    <xf numFmtId="0" fontId="12" fillId="15" borderId="1" xfId="0" applyFont="1" applyFill="1" applyBorder="1" applyAlignment="1">
      <alignment horizontal="left" vertical="top" wrapText="1"/>
    </xf>
    <xf numFmtId="0" fontId="0" fillId="0" borderId="0" xfId="0" applyAlignment="1">
      <alignment horizontal="center" vertical="center"/>
    </xf>
    <xf numFmtId="0" fontId="12" fillId="0" borderId="0" xfId="0" applyFont="1" applyAlignment="1">
      <alignment horizontal="left" vertical="top" wrapText="1"/>
    </xf>
    <xf numFmtId="0" fontId="1" fillId="0" borderId="0" xfId="0" applyFont="1" applyAlignment="1">
      <alignment vertical="top" wrapText="1"/>
    </xf>
    <xf numFmtId="0" fontId="43" fillId="0" borderId="0" xfId="0" applyFont="1" applyAlignment="1">
      <alignment vertical="top" wrapText="1"/>
    </xf>
    <xf numFmtId="0" fontId="9" fillId="0" borderId="0" xfId="0" applyFont="1" applyAlignment="1">
      <alignment vertical="top" wrapText="1"/>
    </xf>
    <xf numFmtId="0" fontId="14" fillId="0" borderId="0" xfId="0" applyFont="1" applyAlignment="1">
      <alignment vertical="top" wrapText="1"/>
    </xf>
    <xf numFmtId="0" fontId="12" fillId="0" borderId="0" xfId="0" applyFont="1" applyAlignment="1">
      <alignment vertical="top" wrapText="1"/>
    </xf>
    <xf numFmtId="0" fontId="0" fillId="0" borderId="0" xfId="0" applyAlignment="1">
      <alignment horizontal="center" vertical="center"/>
    </xf>
    <xf numFmtId="0" fontId="14" fillId="0" borderId="0" xfId="0" applyFont="1" applyAlignment="1">
      <alignment horizontal="left" vertical="top" wrapText="1"/>
    </xf>
    <xf numFmtId="0" fontId="4" fillId="3" borderId="1" xfId="0" applyFont="1" applyFill="1" applyBorder="1" applyAlignment="1">
      <alignment horizontal="center" vertical="center"/>
    </xf>
    <xf numFmtId="0" fontId="12" fillId="0" borderId="0" xfId="0" applyFont="1" applyAlignment="1">
      <alignment horizontal="left" vertical="top" wrapText="1"/>
    </xf>
    <xf numFmtId="0" fontId="0" fillId="0" borderId="0" xfId="0" applyAlignment="1">
      <alignment horizontal="center"/>
    </xf>
    <xf numFmtId="0" fontId="1" fillId="0" borderId="0" xfId="0" applyFont="1" applyAlignment="1">
      <alignment horizontal="center"/>
    </xf>
    <xf numFmtId="0" fontId="0" fillId="0" borderId="0" xfId="0" applyAlignment="1">
      <alignment horizontal="center" vertical="center"/>
    </xf>
    <xf numFmtId="0" fontId="0" fillId="6" borderId="0" xfId="0" applyFill="1" applyAlignment="1">
      <alignment horizontal="center" vertical="center"/>
    </xf>
    <xf numFmtId="0" fontId="0" fillId="4" borderId="0" xfId="0" applyFill="1" applyAlignment="1">
      <alignment horizontal="center"/>
    </xf>
    <xf numFmtId="0" fontId="0" fillId="0" borderId="0" xfId="0" applyFill="1" applyAlignment="1">
      <alignment horizontal="center"/>
    </xf>
    <xf numFmtId="0" fontId="0" fillId="2" borderId="0" xfId="0" applyFill="1" applyAlignment="1">
      <alignment horizontal="center" vertical="center"/>
    </xf>
    <xf numFmtId="0" fontId="0" fillId="3" borderId="0" xfId="0" applyFill="1" applyAlignment="1">
      <alignment horizontal="center" vertical="center"/>
    </xf>
    <xf numFmtId="0" fontId="4" fillId="9" borderId="0" xfId="0" applyFont="1" applyFill="1" applyAlignment="1">
      <alignment horizontal="center" vertical="center"/>
    </xf>
    <xf numFmtId="0" fontId="4" fillId="10" borderId="0" xfId="0" applyFont="1" applyFill="1" applyAlignment="1">
      <alignment horizontal="center" vertical="center" wrapText="1"/>
    </xf>
    <xf numFmtId="0" fontId="8" fillId="0" borderId="0" xfId="1" applyAlignment="1">
      <alignment horizontal="center" vertical="center"/>
    </xf>
    <xf numFmtId="0" fontId="1" fillId="0" borderId="0" xfId="0" applyFont="1" applyFill="1" applyAlignment="1">
      <alignment horizontal="center" vertical="center" wrapText="1"/>
    </xf>
    <xf numFmtId="0" fontId="9" fillId="0" borderId="0" xfId="0" applyFont="1" applyAlignment="1">
      <alignment horizontal="left" vertical="top" wrapText="1"/>
    </xf>
    <xf numFmtId="0" fontId="14" fillId="0" borderId="0" xfId="0" applyFont="1" applyAlignment="1">
      <alignment horizontal="left" vertical="top" wrapText="1"/>
    </xf>
    <xf numFmtId="0" fontId="14" fillId="0" borderId="0" xfId="0" applyFont="1" applyAlignment="1">
      <alignment horizontal="center" vertical="center" wrapText="1"/>
    </xf>
    <xf numFmtId="14" fontId="9" fillId="0" borderId="0" xfId="0" applyNumberFormat="1" applyFont="1" applyAlignment="1">
      <alignment horizontal="center" vertical="center"/>
    </xf>
    <xf numFmtId="0" fontId="8" fillId="0" borderId="2" xfId="1" applyBorder="1" applyAlignment="1">
      <alignment horizontal="center" vertical="center"/>
    </xf>
    <xf numFmtId="14" fontId="12" fillId="0" borderId="0" xfId="0" applyNumberFormat="1" applyFont="1" applyAlignment="1">
      <alignment horizontal="center" vertical="center"/>
    </xf>
    <xf numFmtId="0" fontId="27" fillId="0" borderId="0" xfId="0" applyNumberFormat="1" applyFont="1" applyAlignment="1">
      <alignment horizontal="left" vertical="top" wrapText="1"/>
    </xf>
    <xf numFmtId="0" fontId="25" fillId="0" borderId="0" xfId="0" applyNumberFormat="1" applyFont="1" applyAlignment="1">
      <alignment horizontal="left" vertical="top" wrapText="1"/>
    </xf>
    <xf numFmtId="0" fontId="8" fillId="0" borderId="0" xfId="1" applyBorder="1" applyAlignment="1">
      <alignment horizontal="center" vertical="center"/>
    </xf>
    <xf numFmtId="0" fontId="8" fillId="0" borderId="2" xfId="1" applyFont="1" applyBorder="1" applyAlignment="1">
      <alignment horizontal="center" vertical="center"/>
    </xf>
    <xf numFmtId="14" fontId="9" fillId="0" borderId="0" xfId="0" applyNumberFormat="1" applyFont="1" applyFill="1" applyAlignment="1">
      <alignment horizontal="center" vertical="center"/>
    </xf>
    <xf numFmtId="14" fontId="12" fillId="0" borderId="0" xfId="0" applyNumberFormat="1" applyFont="1" applyFill="1" applyAlignment="1">
      <alignment horizontal="center" vertical="center"/>
    </xf>
    <xf numFmtId="14" fontId="12" fillId="0" borderId="0" xfId="0" applyNumberFormat="1" applyFont="1" applyAlignment="1">
      <alignment horizontal="center" vertical="center" wrapText="1"/>
    </xf>
    <xf numFmtId="14" fontId="20" fillId="0" borderId="0" xfId="0" applyNumberFormat="1" applyFont="1" applyAlignment="1">
      <alignment horizontal="center" vertical="center"/>
    </xf>
    <xf numFmtId="14" fontId="0" fillId="0" borderId="0" xfId="0" applyNumberFormat="1" applyFont="1" applyAlignment="1"/>
    <xf numFmtId="0" fontId="8" fillId="0" borderId="4" xfId="1" applyBorder="1" applyAlignment="1">
      <alignment horizontal="center" vertical="center"/>
    </xf>
    <xf numFmtId="0" fontId="8" fillId="0" borderId="4" xfId="1" applyBorder="1"/>
    <xf numFmtId="14" fontId="18" fillId="0" borderId="0" xfId="0" applyNumberFormat="1" applyFont="1" applyAlignment="1">
      <alignment horizontal="center" vertical="center"/>
    </xf>
    <xf numFmtId="0" fontId="25" fillId="0" borderId="0" xfId="0" applyNumberFormat="1" applyFont="1" applyAlignment="1">
      <alignment horizontal="center" vertical="center" wrapText="1"/>
    </xf>
    <xf numFmtId="0" fontId="8" fillId="0" borderId="2" xfId="1" applyFill="1" applyBorder="1" applyAlignment="1">
      <alignment horizontal="center" vertical="center"/>
    </xf>
    <xf numFmtId="0" fontId="4" fillId="14" borderId="6" xfId="0" applyFont="1" applyFill="1" applyBorder="1" applyAlignment="1">
      <alignment horizontal="center" vertical="center"/>
    </xf>
    <xf numFmtId="0" fontId="4" fillId="14" borderId="7" xfId="0" applyFont="1" applyFill="1" applyBorder="1" applyAlignment="1">
      <alignment horizontal="center" vertical="center"/>
    </xf>
    <xf numFmtId="14" fontId="4" fillId="14" borderId="1" xfId="0" applyNumberFormat="1" applyFont="1" applyFill="1" applyBorder="1" applyAlignment="1">
      <alignment horizontal="center" vertical="center"/>
    </xf>
    <xf numFmtId="14" fontId="4" fillId="3" borderId="1" xfId="0" applyNumberFormat="1" applyFont="1" applyFill="1" applyBorder="1" applyAlignment="1">
      <alignment horizontal="center" vertical="center"/>
    </xf>
    <xf numFmtId="14" fontId="4" fillId="14" borderId="6" xfId="0" applyNumberFormat="1" applyFont="1" applyFill="1" applyBorder="1" applyAlignment="1">
      <alignment horizontal="center" vertical="center"/>
    </xf>
    <xf numFmtId="14" fontId="4" fillId="14" borderId="11" xfId="0" applyNumberFormat="1" applyFont="1" applyFill="1" applyBorder="1" applyAlignment="1">
      <alignment horizontal="center" vertical="center"/>
    </xf>
    <xf numFmtId="14" fontId="4" fillId="14" borderId="7" xfId="0" applyNumberFormat="1" applyFont="1" applyFill="1" applyBorder="1" applyAlignment="1">
      <alignment horizontal="center" vertical="center"/>
    </xf>
    <xf numFmtId="14" fontId="4" fillId="3" borderId="9" xfId="0" applyNumberFormat="1" applyFont="1" applyFill="1" applyBorder="1" applyAlignment="1">
      <alignment horizontal="center" vertical="center"/>
    </xf>
    <xf numFmtId="0" fontId="12" fillId="0" borderId="1" xfId="0" applyFont="1" applyBorder="1" applyAlignment="1">
      <alignment horizontal="left" vertical="top" wrapText="1"/>
    </xf>
    <xf numFmtId="0" fontId="12" fillId="0" borderId="0" xfId="0" applyFont="1" applyAlignment="1">
      <alignment horizontal="left" vertical="top" wrapText="1"/>
    </xf>
    <xf numFmtId="14" fontId="4" fillId="14" borderId="10" xfId="0" applyNumberFormat="1" applyFont="1" applyFill="1" applyBorder="1" applyAlignment="1">
      <alignment horizontal="center" vertical="center"/>
    </xf>
    <xf numFmtId="0" fontId="4" fillId="14" borderId="1" xfId="0" applyFont="1" applyFill="1" applyBorder="1" applyAlignment="1">
      <alignment horizontal="center" vertical="center"/>
    </xf>
    <xf numFmtId="14" fontId="4" fillId="3" borderId="6" xfId="0" applyNumberFormat="1" applyFont="1" applyFill="1" applyBorder="1" applyAlignment="1">
      <alignment horizontal="center" vertical="center"/>
    </xf>
    <xf numFmtId="14" fontId="4" fillId="3" borderId="7" xfId="0" applyNumberFormat="1" applyFont="1" applyFill="1" applyBorder="1" applyAlignment="1">
      <alignment horizontal="center" vertical="center"/>
    </xf>
    <xf numFmtId="0" fontId="38" fillId="13" borderId="0" xfId="1" quotePrefix="1" applyFont="1" applyFill="1" applyAlignment="1">
      <alignment horizontal="center" vertical="center"/>
    </xf>
    <xf numFmtId="0" fontId="38" fillId="13" borderId="0" xfId="1" applyFont="1" applyFill="1" applyAlignment="1">
      <alignment horizontal="center" vertical="center"/>
    </xf>
    <xf numFmtId="0" fontId="4" fillId="14" borderId="5" xfId="0" applyFont="1" applyFill="1" applyBorder="1" applyAlignment="1">
      <alignment horizontal="center" vertical="center"/>
    </xf>
    <xf numFmtId="0" fontId="4" fillId="14" borderId="8" xfId="0" applyFont="1" applyFill="1" applyBorder="1" applyAlignment="1">
      <alignment horizontal="center" vertical="center"/>
    </xf>
    <xf numFmtId="0" fontId="4" fillId="3" borderId="1" xfId="0" applyFont="1" applyFill="1" applyBorder="1" applyAlignment="1">
      <alignment horizontal="center" vertical="center"/>
    </xf>
    <xf numFmtId="0" fontId="4" fillId="16" borderId="0" xfId="0" applyFont="1" applyFill="1" applyAlignment="1">
      <alignment horizontal="center" vertical="top" wrapText="1"/>
    </xf>
  </cellXfs>
  <cellStyles count="2">
    <cellStyle name="Hyperlink" xfId="1" builtinId="8"/>
    <cellStyle name="Normal" xfId="0" builtinId="0"/>
  </cellStyles>
  <dxfs count="117">
    <dxf>
      <font>
        <color theme="0"/>
      </font>
      <fill>
        <patternFill>
          <bgColor theme="4" tint="-0.24994659260841701"/>
        </patternFill>
      </fill>
      <border>
        <left style="thin">
          <color auto="1"/>
        </left>
        <right style="thin">
          <color auto="1"/>
        </right>
        <top style="thin">
          <color auto="1"/>
        </top>
        <bottom style="thin">
          <color auto="1"/>
        </bottom>
      </border>
    </dxf>
    <dxf>
      <font>
        <color theme="0"/>
      </font>
      <fill>
        <patternFill>
          <bgColor rgb="FFC00000"/>
        </patternFill>
      </fill>
      <border>
        <left style="thin">
          <color auto="1"/>
        </left>
        <right style="thin">
          <color auto="1"/>
        </right>
        <top style="thin">
          <color auto="1"/>
        </top>
        <bottom style="thin">
          <color auto="1"/>
        </bottom>
      </border>
    </dxf>
    <dxf>
      <font>
        <color theme="0"/>
      </font>
      <fill>
        <patternFill>
          <bgColor rgb="FF7030A0"/>
        </patternFill>
      </fill>
      <border>
        <left style="thin">
          <color auto="1"/>
        </left>
        <right style="thin">
          <color auto="1"/>
        </right>
        <top style="thin">
          <color auto="1"/>
        </top>
        <bottom style="thin">
          <color auto="1"/>
        </bottom>
      </border>
    </dxf>
    <dxf>
      <font>
        <color theme="0"/>
      </font>
      <fill>
        <patternFill>
          <bgColor rgb="FF0070C0"/>
        </patternFill>
      </fill>
      <border>
        <left style="thin">
          <color auto="1"/>
        </left>
        <right style="thin">
          <color auto="1"/>
        </right>
        <top style="thin">
          <color auto="1"/>
        </top>
        <bottom style="thin">
          <color auto="1"/>
        </bottom>
      </border>
    </dxf>
    <dxf>
      <font>
        <color theme="0"/>
      </font>
      <fill>
        <patternFill>
          <bgColor theme="2" tint="-0.24994659260841701"/>
        </patternFill>
      </fill>
      <border>
        <left style="thin">
          <color auto="1"/>
        </left>
        <right style="thin">
          <color auto="1"/>
        </right>
        <top style="thin">
          <color auto="1"/>
        </top>
        <bottom style="thin">
          <color auto="1"/>
        </bottom>
      </border>
    </dxf>
    <dxf>
      <font>
        <color theme="0"/>
      </font>
      <fill>
        <patternFill>
          <bgColor theme="0" tint="-0.499984740745262"/>
        </patternFill>
      </fill>
      <border>
        <left style="thin">
          <color auto="1"/>
        </left>
        <right style="thin">
          <color auto="1"/>
        </right>
        <top style="thin">
          <color auto="1"/>
        </top>
        <bottom style="thin">
          <color auto="1"/>
        </bottom>
        <vertical/>
        <horizontal/>
      </border>
    </dxf>
    <dxf>
      <font>
        <color theme="0"/>
      </font>
      <fill>
        <patternFill>
          <bgColor rgb="FF333333"/>
        </patternFill>
      </fill>
      <border>
        <left style="thin">
          <color auto="1"/>
        </left>
        <right style="thin">
          <color auto="1"/>
        </right>
        <top style="thin">
          <color auto="1"/>
        </top>
        <bottom style="thin">
          <color auto="1"/>
        </bottom>
        <vertical/>
        <horizontal/>
      </border>
    </dxf>
    <dxf>
      <font>
        <color auto="1"/>
      </font>
      <fill>
        <patternFill>
          <bgColor theme="0" tint="-4.9989318521683403E-2"/>
        </patternFill>
      </fill>
      <border>
        <left style="thin">
          <color auto="1"/>
        </left>
        <right style="thin">
          <color auto="1"/>
        </right>
        <top style="thin">
          <color auto="1"/>
        </top>
        <bottom style="thin">
          <color auto="1"/>
        </bottom>
        <vertical/>
        <horizontal/>
      </border>
    </dxf>
    <dxf>
      <font>
        <color theme="0"/>
      </font>
      <fill>
        <patternFill>
          <bgColor theme="0" tint="-0.499984740745262"/>
        </patternFill>
      </fill>
      <border>
        <left style="thin">
          <color auto="1"/>
        </left>
        <right style="thin">
          <color auto="1"/>
        </right>
        <top style="thin">
          <color auto="1"/>
        </top>
        <bottom style="thin">
          <color auto="1"/>
        </bottom>
        <vertical/>
        <horizontal/>
      </border>
    </dxf>
    <dxf>
      <font>
        <color theme="0"/>
      </font>
      <fill>
        <patternFill>
          <bgColor rgb="FF333333"/>
        </patternFill>
      </fill>
      <border>
        <left style="thin">
          <color auto="1"/>
        </left>
        <right style="thin">
          <color auto="1"/>
        </right>
        <top style="thin">
          <color auto="1"/>
        </top>
        <bottom style="thin">
          <color auto="1"/>
        </bottom>
        <vertical/>
        <horizontal/>
      </border>
    </dxf>
    <dxf>
      <font>
        <color auto="1"/>
      </font>
      <fill>
        <patternFill>
          <bgColor theme="0" tint="-4.9989318521683403E-2"/>
        </patternFill>
      </fill>
      <border>
        <left style="thin">
          <color auto="1"/>
        </left>
        <right style="thin">
          <color auto="1"/>
        </right>
        <top style="thin">
          <color auto="1"/>
        </top>
        <bottom style="thin">
          <color auto="1"/>
        </bottom>
        <vertical/>
        <horizontal/>
      </border>
    </dxf>
    <dxf>
      <font>
        <color theme="0"/>
      </font>
      <fill>
        <patternFill>
          <bgColor theme="0" tint="-0.499984740745262"/>
        </patternFill>
      </fill>
      <border>
        <left style="thin">
          <color auto="1"/>
        </left>
        <right style="thin">
          <color auto="1"/>
        </right>
        <top style="thin">
          <color auto="1"/>
        </top>
        <bottom style="thin">
          <color auto="1"/>
        </bottom>
        <vertical/>
        <horizontal/>
      </border>
    </dxf>
    <dxf>
      <font>
        <color theme="0"/>
      </font>
      <fill>
        <patternFill>
          <bgColor rgb="FF333333"/>
        </patternFill>
      </fill>
      <border>
        <left style="thin">
          <color auto="1"/>
        </left>
        <right style="thin">
          <color auto="1"/>
        </right>
        <top style="thin">
          <color auto="1"/>
        </top>
        <bottom style="thin">
          <color auto="1"/>
        </bottom>
        <vertical/>
        <horizontal/>
      </border>
    </dxf>
    <dxf>
      <font>
        <color auto="1"/>
      </font>
      <fill>
        <patternFill>
          <bgColor theme="0" tint="-4.9989318521683403E-2"/>
        </patternFill>
      </fill>
      <border>
        <left style="thin">
          <color auto="1"/>
        </left>
        <right style="thin">
          <color auto="1"/>
        </right>
        <top style="thin">
          <color auto="1"/>
        </top>
        <bottom style="thin">
          <color auto="1"/>
        </bottom>
        <vertical/>
        <horizontal/>
      </border>
    </dxf>
    <dxf>
      <font>
        <color theme="0"/>
      </font>
      <fill>
        <patternFill>
          <bgColor theme="4" tint="-0.24994659260841701"/>
        </patternFill>
      </fill>
      <border>
        <left style="thin">
          <color auto="1"/>
        </left>
        <right style="thin">
          <color auto="1"/>
        </right>
        <top style="thin">
          <color auto="1"/>
        </top>
        <bottom style="thin">
          <color auto="1"/>
        </bottom>
      </border>
    </dxf>
    <dxf>
      <font>
        <color theme="0"/>
      </font>
      <fill>
        <patternFill>
          <bgColor rgb="FFC00000"/>
        </patternFill>
      </fill>
      <border>
        <left style="thin">
          <color auto="1"/>
        </left>
        <right style="thin">
          <color auto="1"/>
        </right>
        <top style="thin">
          <color auto="1"/>
        </top>
        <bottom style="thin">
          <color auto="1"/>
        </bottom>
      </border>
    </dxf>
    <dxf>
      <font>
        <color theme="0"/>
      </font>
      <fill>
        <patternFill>
          <bgColor rgb="FF7030A0"/>
        </patternFill>
      </fill>
      <border>
        <left style="thin">
          <color auto="1"/>
        </left>
        <right style="thin">
          <color auto="1"/>
        </right>
        <top style="thin">
          <color auto="1"/>
        </top>
        <bottom style="thin">
          <color auto="1"/>
        </bottom>
      </border>
    </dxf>
    <dxf>
      <font>
        <color theme="0"/>
      </font>
      <fill>
        <patternFill>
          <bgColor rgb="FF0070C0"/>
        </patternFill>
      </fill>
      <border>
        <left style="thin">
          <color auto="1"/>
        </left>
        <right style="thin">
          <color auto="1"/>
        </right>
        <top style="thin">
          <color auto="1"/>
        </top>
        <bottom style="thin">
          <color auto="1"/>
        </bottom>
      </border>
    </dxf>
    <dxf>
      <font>
        <color theme="0"/>
      </font>
      <fill>
        <patternFill>
          <bgColor theme="2" tint="-0.24994659260841701"/>
        </patternFill>
      </fill>
      <border>
        <left style="thin">
          <color auto="1"/>
        </left>
        <right style="thin">
          <color auto="1"/>
        </right>
        <top style="thin">
          <color auto="1"/>
        </top>
        <bottom style="thin">
          <color auto="1"/>
        </bottom>
      </border>
    </dxf>
    <dxf>
      <font>
        <color theme="0"/>
      </font>
      <fill>
        <patternFill>
          <bgColor theme="4" tint="-0.24994659260841701"/>
        </patternFill>
      </fill>
      <border>
        <left style="thin">
          <color auto="1"/>
        </left>
        <right style="thin">
          <color auto="1"/>
        </right>
        <top style="thin">
          <color auto="1"/>
        </top>
        <bottom style="thin">
          <color auto="1"/>
        </bottom>
      </border>
    </dxf>
    <dxf>
      <font>
        <color theme="0"/>
      </font>
      <fill>
        <patternFill>
          <bgColor rgb="FFC00000"/>
        </patternFill>
      </fill>
      <border>
        <left style="thin">
          <color auto="1"/>
        </left>
        <right style="thin">
          <color auto="1"/>
        </right>
        <top style="thin">
          <color auto="1"/>
        </top>
        <bottom style="thin">
          <color auto="1"/>
        </bottom>
      </border>
    </dxf>
    <dxf>
      <font>
        <color theme="0"/>
      </font>
      <fill>
        <patternFill>
          <bgColor rgb="FF7030A0"/>
        </patternFill>
      </fill>
      <border>
        <left style="thin">
          <color auto="1"/>
        </left>
        <right style="thin">
          <color auto="1"/>
        </right>
        <top style="thin">
          <color auto="1"/>
        </top>
        <bottom style="thin">
          <color auto="1"/>
        </bottom>
      </border>
    </dxf>
    <dxf>
      <font>
        <color theme="0"/>
      </font>
      <fill>
        <patternFill>
          <bgColor rgb="FF0070C0"/>
        </patternFill>
      </fill>
      <border>
        <left style="thin">
          <color auto="1"/>
        </left>
        <right style="thin">
          <color auto="1"/>
        </right>
        <top style="thin">
          <color auto="1"/>
        </top>
        <bottom style="thin">
          <color auto="1"/>
        </bottom>
      </border>
    </dxf>
    <dxf>
      <font>
        <color theme="0"/>
      </font>
      <fill>
        <patternFill>
          <bgColor theme="2" tint="-0.24994659260841701"/>
        </patternFill>
      </fill>
      <border>
        <left style="thin">
          <color auto="1"/>
        </left>
        <right style="thin">
          <color auto="1"/>
        </right>
        <top style="thin">
          <color auto="1"/>
        </top>
        <bottom style="thin">
          <color auto="1"/>
        </bottom>
      </border>
    </dxf>
    <dxf>
      <fill>
        <patternFill patternType="solid">
          <fgColor rgb="FF00B050"/>
          <bgColor rgb="FF00B050"/>
        </patternFill>
      </fill>
      <border>
        <left/>
        <right/>
        <top/>
        <bottom/>
      </border>
    </dxf>
    <dxf>
      <fill>
        <patternFill patternType="solid">
          <fgColor rgb="FF00B050"/>
          <bgColor rgb="FF00B050"/>
        </patternFill>
      </fill>
      <border>
        <left/>
        <right/>
        <top/>
        <bottom/>
      </border>
    </dxf>
    <dxf>
      <fill>
        <patternFill patternType="solid">
          <fgColor rgb="FFC00000"/>
          <bgColor rgb="FFC00000"/>
        </patternFill>
      </fill>
      <border>
        <left/>
        <right/>
        <top/>
        <bottom/>
      </border>
    </dxf>
    <dxf>
      <fill>
        <patternFill patternType="solid">
          <fgColor rgb="FFFFFF00"/>
          <bgColor rgb="FFFFFF00"/>
        </patternFill>
      </fill>
      <border>
        <left/>
        <right/>
        <top/>
        <bottom/>
      </border>
    </dxf>
    <dxf>
      <fill>
        <patternFill patternType="solid">
          <fgColor rgb="FF00B0F0"/>
          <bgColor rgb="FF00B0F0"/>
        </patternFill>
      </fill>
      <border>
        <left/>
        <right/>
        <top/>
        <bottom/>
      </border>
    </dxf>
    <dxf>
      <fill>
        <patternFill patternType="solid">
          <fgColor rgb="FF00B050"/>
          <bgColor rgb="FF00B050"/>
        </patternFill>
      </fill>
      <border>
        <left/>
        <right/>
        <top/>
        <bottom/>
      </border>
    </dxf>
    <dxf>
      <fill>
        <patternFill patternType="solid">
          <fgColor rgb="FF00B050"/>
          <bgColor rgb="FF00B050"/>
        </patternFill>
      </fill>
      <border>
        <left/>
        <right/>
        <top/>
        <bottom/>
      </border>
    </dxf>
    <dxf>
      <fill>
        <patternFill patternType="solid">
          <fgColor rgb="FFC00000"/>
          <bgColor rgb="FFC00000"/>
        </patternFill>
      </fill>
      <border>
        <left/>
        <right/>
        <top/>
        <bottom/>
      </border>
    </dxf>
    <dxf>
      <fill>
        <patternFill patternType="solid">
          <fgColor rgb="FFFFFF00"/>
          <bgColor rgb="FFFFFF00"/>
        </patternFill>
      </fill>
      <border>
        <left/>
        <right/>
        <top/>
        <bottom/>
      </border>
    </dxf>
    <dxf>
      <fill>
        <patternFill patternType="solid">
          <fgColor rgb="FF00B0F0"/>
          <bgColor rgb="FF00B0F0"/>
        </patternFill>
      </fill>
      <border>
        <left/>
        <right/>
        <top/>
        <bottom/>
      </border>
    </dxf>
    <dxf>
      <fill>
        <patternFill patternType="solid">
          <fgColor rgb="FF00B050"/>
          <bgColor rgb="FF00B050"/>
        </patternFill>
      </fill>
      <border>
        <left/>
        <right/>
        <top/>
        <bottom/>
      </border>
    </dxf>
    <dxf>
      <fill>
        <patternFill patternType="solid">
          <fgColor rgb="FF00B050"/>
          <bgColor rgb="FF00B050"/>
        </patternFill>
      </fill>
      <border>
        <left/>
        <right/>
        <top/>
        <bottom/>
      </border>
    </dxf>
    <dxf>
      <fill>
        <patternFill patternType="solid">
          <fgColor rgb="FFC00000"/>
          <bgColor rgb="FFC00000"/>
        </patternFill>
      </fill>
      <border>
        <left/>
        <right/>
        <top/>
        <bottom/>
      </border>
    </dxf>
    <dxf>
      <fill>
        <patternFill patternType="solid">
          <fgColor rgb="FFFFFF00"/>
          <bgColor rgb="FFFFFF00"/>
        </patternFill>
      </fill>
      <border>
        <left/>
        <right/>
        <top/>
        <bottom/>
      </border>
    </dxf>
    <dxf>
      <fill>
        <patternFill patternType="solid">
          <fgColor rgb="FF00B0F0"/>
          <bgColor rgb="FF00B0F0"/>
        </patternFill>
      </fill>
      <border>
        <left/>
        <right/>
        <top/>
        <bottom/>
      </border>
    </dxf>
    <dxf>
      <fill>
        <patternFill patternType="solid">
          <fgColor rgb="FF00B050"/>
          <bgColor rgb="FF00B050"/>
        </patternFill>
      </fill>
      <border>
        <left/>
        <right/>
        <top/>
        <bottom/>
      </border>
    </dxf>
    <dxf>
      <fill>
        <patternFill patternType="solid">
          <fgColor rgb="FF00B050"/>
          <bgColor rgb="FF00B050"/>
        </patternFill>
      </fill>
      <border>
        <left/>
        <right/>
        <top/>
        <bottom/>
      </border>
    </dxf>
    <dxf>
      <fill>
        <patternFill patternType="solid">
          <fgColor rgb="FFC00000"/>
          <bgColor rgb="FFC00000"/>
        </patternFill>
      </fill>
      <border>
        <left/>
        <right/>
        <top/>
        <bottom/>
      </border>
    </dxf>
    <dxf>
      <fill>
        <patternFill patternType="solid">
          <fgColor rgb="FFFFFF00"/>
          <bgColor rgb="FFFFFF00"/>
        </patternFill>
      </fill>
      <border>
        <left/>
        <right/>
        <top/>
        <bottom/>
      </border>
    </dxf>
    <dxf>
      <fill>
        <patternFill patternType="solid">
          <fgColor rgb="FF00B0F0"/>
          <bgColor rgb="FF00B0F0"/>
        </patternFill>
      </fill>
      <border>
        <left/>
        <right/>
        <top/>
        <bottom/>
      </border>
    </dxf>
    <dxf>
      <fill>
        <patternFill>
          <bgColor rgb="FF00B050"/>
        </patternFill>
      </fill>
    </dxf>
    <dxf>
      <fill>
        <patternFill>
          <bgColor rgb="FF00B050"/>
        </patternFill>
      </fill>
    </dxf>
    <dxf>
      <fill>
        <patternFill>
          <bgColor theme="5"/>
        </patternFill>
      </fill>
    </dxf>
    <dxf>
      <fill>
        <patternFill>
          <bgColor rgb="FFFFFF00"/>
        </patternFill>
      </fill>
    </dxf>
    <dxf>
      <fill>
        <patternFill>
          <bgColor theme="8"/>
        </patternFill>
      </fill>
    </dxf>
    <dxf>
      <fill>
        <patternFill patternType="solid">
          <fgColor rgb="FF00B050"/>
          <bgColor rgb="FF00B050"/>
        </patternFill>
      </fill>
      <border>
        <left/>
        <right/>
        <top/>
        <bottom/>
      </border>
    </dxf>
    <dxf>
      <fill>
        <patternFill patternType="solid">
          <fgColor rgb="FFC00000"/>
          <bgColor rgb="FFC00000"/>
        </patternFill>
      </fill>
      <border>
        <left/>
        <right/>
        <top/>
        <bottom/>
      </border>
    </dxf>
    <dxf>
      <fill>
        <patternFill patternType="solid">
          <fgColor rgb="FFFFFF00"/>
          <bgColor rgb="FFFFFF00"/>
        </patternFill>
      </fill>
      <border>
        <left/>
        <right/>
        <top/>
        <bottom/>
      </border>
    </dxf>
    <dxf>
      <fill>
        <patternFill patternType="solid">
          <fgColor rgb="FFCC9900"/>
          <bgColor rgb="FFCC9900"/>
        </patternFill>
      </fill>
      <border>
        <left/>
        <right/>
        <top/>
        <bottom/>
      </border>
    </dxf>
    <dxf>
      <fill>
        <patternFill>
          <bgColor rgb="FF00B050"/>
        </patternFill>
      </fill>
    </dxf>
    <dxf>
      <fill>
        <patternFill>
          <bgColor rgb="FFC00000"/>
        </patternFill>
      </fill>
    </dxf>
    <dxf>
      <fill>
        <patternFill>
          <bgColor rgb="FFFFFF00"/>
        </patternFill>
      </fill>
    </dxf>
    <dxf>
      <fill>
        <patternFill>
          <bgColor rgb="FFCC9900"/>
        </patternFill>
      </fill>
    </dxf>
    <dxf>
      <font>
        <color theme="0"/>
      </font>
      <fill>
        <patternFill>
          <bgColor theme="0" tint="-0.499984740745262"/>
        </patternFill>
      </fill>
      <border>
        <left style="thin">
          <color auto="1"/>
        </left>
        <right style="thin">
          <color auto="1"/>
        </right>
        <top style="thin">
          <color auto="1"/>
        </top>
        <bottom style="thin">
          <color auto="1"/>
        </bottom>
        <vertical/>
        <horizontal/>
      </border>
    </dxf>
    <dxf>
      <font>
        <color theme="0"/>
      </font>
      <fill>
        <patternFill>
          <bgColor rgb="FF333333"/>
        </patternFill>
      </fill>
      <border>
        <left style="thin">
          <color auto="1"/>
        </left>
        <right style="thin">
          <color auto="1"/>
        </right>
        <top style="thin">
          <color auto="1"/>
        </top>
        <bottom style="thin">
          <color auto="1"/>
        </bottom>
        <vertical/>
        <horizontal/>
      </border>
    </dxf>
    <dxf>
      <font>
        <color auto="1"/>
      </font>
      <fill>
        <patternFill>
          <bgColor theme="0" tint="-4.9989318521683403E-2"/>
        </patternFill>
      </fill>
      <border>
        <left style="thin">
          <color auto="1"/>
        </left>
        <right style="thin">
          <color auto="1"/>
        </right>
        <top style="thin">
          <color auto="1"/>
        </top>
        <bottom style="thin">
          <color auto="1"/>
        </bottom>
        <vertical/>
        <horizontal/>
      </border>
    </dxf>
    <dxf>
      <font>
        <color theme="0"/>
      </font>
      <fill>
        <patternFill>
          <bgColor theme="4" tint="-0.24994659260841701"/>
        </patternFill>
      </fill>
      <border>
        <left style="thin">
          <color auto="1"/>
        </left>
        <right style="thin">
          <color auto="1"/>
        </right>
        <top style="thin">
          <color auto="1"/>
        </top>
        <bottom style="thin">
          <color auto="1"/>
        </bottom>
      </border>
    </dxf>
    <dxf>
      <font>
        <color theme="0"/>
      </font>
      <fill>
        <patternFill>
          <bgColor rgb="FFC00000"/>
        </patternFill>
      </fill>
      <border>
        <left style="thin">
          <color auto="1"/>
        </left>
        <right style="thin">
          <color auto="1"/>
        </right>
        <top style="thin">
          <color auto="1"/>
        </top>
        <bottom style="thin">
          <color auto="1"/>
        </bottom>
      </border>
    </dxf>
    <dxf>
      <font>
        <color theme="0"/>
      </font>
      <fill>
        <patternFill>
          <bgColor rgb="FF7030A0"/>
        </patternFill>
      </fill>
      <border>
        <left style="thin">
          <color auto="1"/>
        </left>
        <right style="thin">
          <color auto="1"/>
        </right>
        <top style="thin">
          <color auto="1"/>
        </top>
        <bottom style="thin">
          <color auto="1"/>
        </bottom>
      </border>
    </dxf>
    <dxf>
      <font>
        <color theme="0"/>
      </font>
      <fill>
        <patternFill>
          <bgColor rgb="FF0070C0"/>
        </patternFill>
      </fill>
      <border>
        <left style="thin">
          <color auto="1"/>
        </left>
        <right style="thin">
          <color auto="1"/>
        </right>
        <top style="thin">
          <color auto="1"/>
        </top>
        <bottom style="thin">
          <color auto="1"/>
        </bottom>
      </border>
    </dxf>
    <dxf>
      <font>
        <color theme="0"/>
      </font>
      <fill>
        <patternFill>
          <bgColor theme="2" tint="-0.24994659260841701"/>
        </patternFill>
      </fill>
      <border>
        <left style="thin">
          <color auto="1"/>
        </left>
        <right style="thin">
          <color auto="1"/>
        </right>
        <top style="thin">
          <color auto="1"/>
        </top>
        <bottom style="thin">
          <color auto="1"/>
        </bottom>
      </border>
    </dxf>
    <dxf>
      <font>
        <color theme="0"/>
      </font>
      <fill>
        <patternFill>
          <bgColor theme="4" tint="-0.24994659260841701"/>
        </patternFill>
      </fill>
    </dxf>
    <dxf>
      <font>
        <color theme="0"/>
      </font>
      <fill>
        <patternFill>
          <bgColor rgb="FFC00000"/>
        </patternFill>
      </fill>
    </dxf>
    <dxf>
      <font>
        <color theme="0"/>
      </font>
      <fill>
        <patternFill>
          <bgColor rgb="FF7030A0"/>
        </patternFill>
      </fill>
    </dxf>
    <dxf>
      <font>
        <color theme="0"/>
      </font>
      <fill>
        <patternFill>
          <bgColor rgb="FF0070C0"/>
        </patternFill>
      </fill>
    </dxf>
    <dxf>
      <font>
        <color theme="0"/>
      </font>
      <fill>
        <patternFill>
          <bgColor theme="4" tint="-0.24994659260841701"/>
        </patternFill>
      </fill>
    </dxf>
    <dxf>
      <font>
        <color theme="0"/>
      </font>
      <fill>
        <patternFill>
          <bgColor rgb="FFC00000"/>
        </patternFill>
      </fill>
    </dxf>
    <dxf>
      <font>
        <color theme="0"/>
      </font>
      <fill>
        <patternFill>
          <bgColor rgb="FF7030A0"/>
        </patternFill>
      </fill>
    </dxf>
    <dxf>
      <font>
        <color theme="0"/>
      </font>
      <fill>
        <patternFill>
          <bgColor rgb="FF0070C0"/>
        </patternFill>
      </fill>
    </dxf>
    <dxf>
      <font>
        <color theme="0"/>
      </font>
      <fill>
        <patternFill>
          <bgColor theme="4" tint="-0.24994659260841701"/>
        </patternFill>
      </fill>
    </dxf>
    <dxf>
      <font>
        <color theme="0"/>
      </font>
      <fill>
        <patternFill>
          <bgColor theme="3" tint="-0.499984740745262"/>
        </patternFill>
      </fill>
    </dxf>
    <dxf>
      <font>
        <color theme="0"/>
      </font>
      <fill>
        <patternFill>
          <bgColor rgb="FF7030A0"/>
        </patternFill>
      </fill>
    </dxf>
    <dxf>
      <fill>
        <patternFill>
          <bgColor theme="9" tint="0.89996032593768116"/>
        </patternFill>
      </fill>
    </dxf>
    <dxf>
      <fill>
        <patternFill>
          <bgColor rgb="FF92D050"/>
        </patternFill>
      </fill>
    </dxf>
    <dxf>
      <font>
        <color theme="0"/>
      </font>
      <fill>
        <patternFill>
          <bgColor theme="0" tint="-0.499984740745262"/>
        </patternFill>
      </fill>
    </dxf>
    <dxf>
      <font>
        <color theme="0"/>
      </font>
      <fill>
        <patternFill>
          <bgColor rgb="FFC00000"/>
        </patternFill>
      </fill>
    </dxf>
    <dxf>
      <font>
        <color auto="1"/>
      </font>
      <fill>
        <patternFill>
          <bgColor theme="5" tint="0.59996337778862885"/>
        </patternFill>
      </fill>
    </dxf>
    <dxf>
      <font>
        <color theme="0"/>
      </font>
      <fill>
        <patternFill>
          <bgColor theme="2" tint="-0.749961851863155"/>
        </patternFill>
      </fill>
    </dxf>
    <dxf>
      <font>
        <color theme="0"/>
      </font>
      <fill>
        <patternFill>
          <bgColor theme="1"/>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theme="8"/>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theme="8"/>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theme="8"/>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theme="8"/>
        </patternFill>
      </fill>
    </dxf>
    <dxf>
      <fill>
        <patternFill>
          <bgColor rgb="FF00B050"/>
        </patternFill>
      </fill>
    </dxf>
    <dxf>
      <fill>
        <patternFill>
          <bgColor rgb="FFC00000"/>
        </patternFill>
      </fill>
    </dxf>
    <dxf>
      <fill>
        <patternFill>
          <bgColor rgb="FFFFFF00"/>
        </patternFill>
      </fill>
    </dxf>
    <dxf>
      <fill>
        <patternFill>
          <bgColor rgb="FFCC9900"/>
        </patternFill>
      </fill>
    </dxf>
    <dxf>
      <fill>
        <patternFill>
          <bgColor rgb="FF00B050"/>
        </patternFill>
      </fill>
    </dxf>
    <dxf>
      <fill>
        <patternFill>
          <bgColor rgb="FFC00000"/>
        </patternFill>
      </fill>
    </dxf>
    <dxf>
      <fill>
        <patternFill>
          <bgColor rgb="FFFFFF00"/>
        </patternFill>
      </fill>
    </dxf>
    <dxf>
      <fill>
        <patternFill>
          <bgColor rgb="FFCC9900"/>
        </patternFill>
      </fill>
    </dxf>
    <dxf>
      <fill>
        <patternFill>
          <bgColor rgb="FF00B050"/>
        </patternFill>
      </fill>
    </dxf>
    <dxf>
      <fill>
        <patternFill>
          <bgColor rgb="FFC00000"/>
        </patternFill>
      </fill>
    </dxf>
    <dxf>
      <fill>
        <patternFill>
          <bgColor rgb="FFFFFF00"/>
        </patternFill>
      </fill>
    </dxf>
    <dxf>
      <fill>
        <patternFill>
          <bgColor rgb="FFCC9900"/>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tableStyleElement type="wholeTable" dxfId="116"/>
      <tableStyleElement type="headerRow" dxfId="115"/>
    </tableStyle>
  </tableStyles>
  <colors>
    <mruColors>
      <color rgb="FF333333"/>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Summary</a:t>
            </a:r>
            <a:r>
              <a:rPr lang="en-PH" baseline="0"/>
              <a:t> Planning</a:t>
            </a:r>
          </a:p>
          <a:p>
            <a:pPr>
              <a:defRPr/>
            </a:pPr>
            <a:endParaRPr lang="en-PH"/>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'Summary Plan'!$A$4:$A$6</c:f>
              <c:strCache>
                <c:ptCount val="3"/>
                <c:pt idx="0">
                  <c:v>Yes</c:v>
                </c:pt>
                <c:pt idx="1">
                  <c:v>No</c:v>
                </c:pt>
                <c:pt idx="2">
                  <c:v>Some</c:v>
                </c:pt>
              </c:strCache>
            </c:strRef>
          </c:cat>
          <c:val>
            <c:numRef>
              <c:f>'Summary Plan'!$C$4:$C$6</c:f>
              <c:numCache>
                <c:formatCode>0.00%</c:formatCode>
                <c:ptCount val="3"/>
                <c:pt idx="0">
                  <c:v>0.44736842105263158</c:v>
                </c:pt>
                <c:pt idx="1">
                  <c:v>0.21052631578947367</c:v>
                </c:pt>
                <c:pt idx="2">
                  <c:v>0.34210526315789475</c:v>
                </c:pt>
              </c:numCache>
            </c:numRef>
          </c:val>
        </c:ser>
        <c:dLbls>
          <c:showLegendKey val="0"/>
          <c:showVal val="0"/>
          <c:showCatName val="0"/>
          <c:showSerName val="0"/>
          <c:showPercent val="0"/>
          <c:showBubbleSize val="0"/>
          <c:showLeaderLines val="0"/>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Summary</a:t>
            </a:r>
            <a:r>
              <a:rPr lang="en-PH" baseline="0"/>
              <a:t> Checklist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'Summary Plan'!$H$4:$H$7</c:f>
              <c:strCache>
                <c:ptCount val="4"/>
                <c:pt idx="0">
                  <c:v>Completed</c:v>
                </c:pt>
                <c:pt idx="1">
                  <c:v>Not Started</c:v>
                </c:pt>
                <c:pt idx="2">
                  <c:v>Working</c:v>
                </c:pt>
                <c:pt idx="3">
                  <c:v>Fixing</c:v>
                </c:pt>
              </c:strCache>
            </c:strRef>
          </c:cat>
          <c:val>
            <c:numRef>
              <c:f>'Summary Plan'!$J$4:$J$7</c:f>
              <c:numCache>
                <c:formatCode>0.00%</c:formatCode>
                <c:ptCount val="4"/>
                <c:pt idx="0">
                  <c:v>0.76595744680851063</c:v>
                </c:pt>
                <c:pt idx="1">
                  <c:v>0.16489361702127658</c:v>
                </c:pt>
                <c:pt idx="2">
                  <c:v>3.7234042553191488E-2</c:v>
                </c:pt>
                <c:pt idx="3">
                  <c:v>3.1914893617021274E-2</c:v>
                </c:pt>
              </c:numCache>
            </c:numRef>
          </c:val>
        </c:ser>
        <c:dLbls>
          <c:showLegendKey val="0"/>
          <c:showVal val="0"/>
          <c:showCatName val="0"/>
          <c:showSerName val="0"/>
          <c:showPercent val="0"/>
          <c:showBubbleSize val="0"/>
          <c:showLeaderLines val="0"/>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Percent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'Summary Plan'!$T$3</c:f>
              <c:strCache>
                <c:ptCount val="1"/>
                <c:pt idx="0">
                  <c:v>Percent</c:v>
                </c:pt>
              </c:strCache>
            </c:strRef>
          </c:tx>
          <c:dPt>
            <c:idx val="0"/>
            <c:bubble3D val="0"/>
            <c:spPr>
              <a:solidFill>
                <a:schemeClr val="accent1"/>
              </a:solidFill>
              <a:ln w="19050">
                <a:solidFill>
                  <a:schemeClr val="lt1"/>
                </a:solidFill>
              </a:ln>
              <a:effectLst/>
            </c:spPr>
          </c:dPt>
          <c:dPt>
            <c:idx val="1"/>
            <c:bubble3D val="0"/>
            <c:spPr>
              <a:solidFill>
                <a:schemeClr val="accent3"/>
              </a:solidFill>
              <a:ln w="19050">
                <a:solidFill>
                  <a:schemeClr val="lt1"/>
                </a:solidFill>
              </a:ln>
              <a:effectLst/>
            </c:spPr>
          </c:dPt>
          <c:dPt>
            <c:idx val="2"/>
            <c:bubble3D val="0"/>
            <c:spPr>
              <a:solidFill>
                <a:schemeClr val="accent5"/>
              </a:solidFill>
              <a:ln w="19050">
                <a:solidFill>
                  <a:schemeClr val="lt1"/>
                </a:solidFill>
              </a:ln>
              <a:effectLst/>
            </c:spPr>
          </c:dPt>
          <c:dPt>
            <c:idx val="3"/>
            <c:bubble3D val="0"/>
            <c:spPr>
              <a:solidFill>
                <a:schemeClr val="accent1">
                  <a:lumMod val="60000"/>
                </a:schemeClr>
              </a:solidFill>
              <a:ln w="19050">
                <a:solidFill>
                  <a:schemeClr val="lt1"/>
                </a:solidFill>
              </a:ln>
              <a:effectLst/>
            </c:spPr>
          </c:dPt>
          <c:dPt>
            <c:idx val="4"/>
            <c:bubble3D val="0"/>
            <c:spPr>
              <a:solidFill>
                <a:schemeClr val="accent3">
                  <a:lumMod val="60000"/>
                </a:schemeClr>
              </a:solidFill>
              <a:ln w="19050">
                <a:solidFill>
                  <a:schemeClr val="lt1"/>
                </a:solidFill>
              </a:ln>
              <a:effectLst/>
            </c:spPr>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'Summary Plan'!$R$4:$R$8</c:f>
              <c:strCache>
                <c:ptCount val="5"/>
                <c:pt idx="0">
                  <c:v>Finished</c:v>
                </c:pt>
                <c:pt idx="1">
                  <c:v>Error</c:v>
                </c:pt>
                <c:pt idx="2">
                  <c:v>Fixed</c:v>
                </c:pt>
                <c:pt idx="3">
                  <c:v>Fixing</c:v>
                </c:pt>
                <c:pt idx="4">
                  <c:v>Not Started</c:v>
                </c:pt>
              </c:strCache>
            </c:strRef>
          </c:cat>
          <c:val>
            <c:numRef>
              <c:f>'Summary Plan'!$T$4:$T$8</c:f>
              <c:numCache>
                <c:formatCode>0.00%</c:formatCode>
                <c:ptCount val="5"/>
                <c:pt idx="0">
                  <c:v>0.63706563706563701</c:v>
                </c:pt>
                <c:pt idx="1">
                  <c:v>3.8610038610038609E-2</c:v>
                </c:pt>
                <c:pt idx="2">
                  <c:v>0.32432432432432434</c:v>
                </c:pt>
                <c:pt idx="3">
                  <c:v>0</c:v>
                </c:pt>
                <c:pt idx="4">
                  <c:v>0</c:v>
                </c:pt>
              </c:numCache>
            </c:numRef>
          </c:val>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Type Count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'Summary Plan'!$N$4:$N$6</c:f>
              <c:strCache>
                <c:ptCount val="3"/>
                <c:pt idx="0">
                  <c:v>WhiteBox</c:v>
                </c:pt>
                <c:pt idx="1">
                  <c:v>GrayBox</c:v>
                </c:pt>
                <c:pt idx="2">
                  <c:v>BlackBox</c:v>
                </c:pt>
              </c:strCache>
            </c:strRef>
          </c:cat>
          <c:val>
            <c:numRef>
              <c:f>'Summary Plan'!$O$4:$O$6</c:f>
              <c:numCache>
                <c:formatCode>General</c:formatCode>
                <c:ptCount val="3"/>
                <c:pt idx="0">
                  <c:v>124</c:v>
                </c:pt>
                <c:pt idx="1">
                  <c:v>83</c:v>
                </c:pt>
                <c:pt idx="2">
                  <c:v>52</c:v>
                </c:pt>
              </c:numCache>
            </c:numRef>
          </c:val>
        </c:ser>
        <c:dLbls>
          <c:showLegendKey val="0"/>
          <c:showVal val="0"/>
          <c:showCatName val="0"/>
          <c:showSerName val="0"/>
          <c:showPercent val="0"/>
          <c:showBubbleSize val="0"/>
        </c:dLbls>
        <c:gapWidth val="219"/>
        <c:overlap val="-27"/>
        <c:axId val="1224386496"/>
        <c:axId val="1224390304"/>
      </c:barChart>
      <c:catAx>
        <c:axId val="1224386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4390304"/>
        <c:crosses val="autoZero"/>
        <c:auto val="1"/>
        <c:lblAlgn val="ctr"/>
        <c:lblOffset val="100"/>
        <c:noMultiLvlLbl val="0"/>
      </c:catAx>
      <c:valAx>
        <c:axId val="12243903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43864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42862</xdr:colOff>
      <xdr:row>7</xdr:row>
      <xdr:rowOff>28574</xdr:rowOff>
    </xdr:from>
    <xdr:to>
      <xdr:col>3</xdr:col>
      <xdr:colOff>600075</xdr:colOff>
      <xdr:row>18</xdr:row>
      <xdr:rowOff>57149</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533400</xdr:colOff>
      <xdr:row>8</xdr:row>
      <xdr:rowOff>76200</xdr:rowOff>
    </xdr:from>
    <xdr:to>
      <xdr:col>9</xdr:col>
      <xdr:colOff>666750</xdr:colOff>
      <xdr:row>21</xdr:row>
      <xdr:rowOff>57150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466725</xdr:colOff>
      <xdr:row>9</xdr:row>
      <xdr:rowOff>19050</xdr:rowOff>
    </xdr:from>
    <xdr:to>
      <xdr:col>22</xdr:col>
      <xdr:colOff>285750</xdr:colOff>
      <xdr:row>19</xdr:row>
      <xdr:rowOff>138112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209549</xdr:colOff>
      <xdr:row>8</xdr:row>
      <xdr:rowOff>104774</xdr:rowOff>
    </xdr:from>
    <xdr:to>
      <xdr:col>16</xdr:col>
      <xdr:colOff>219074</xdr:colOff>
      <xdr:row>19</xdr:row>
      <xdr:rowOff>176211</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documentation_color">
      <a:dk1>
        <a:sysClr val="windowText" lastClr="000000"/>
      </a:dk1>
      <a:lt1>
        <a:sysClr val="window" lastClr="FFFFFF"/>
      </a:lt1>
      <a:dk2>
        <a:srgbClr val="1F497D"/>
      </a:dk2>
      <a:lt2>
        <a:srgbClr val="EEECE1"/>
      </a:lt2>
      <a:accent1>
        <a:srgbClr val="00B050"/>
      </a:accent1>
      <a:accent2>
        <a:srgbClr val="C00000"/>
      </a:accent2>
      <a:accent3>
        <a:srgbClr val="FFC000"/>
      </a:accent3>
      <a:accent4>
        <a:srgbClr val="00B0F0"/>
      </a:accent4>
      <a:accent5>
        <a:srgbClr val="00B0F0"/>
      </a:accent5>
      <a:accent6>
        <a:srgbClr val="002060"/>
      </a:accent6>
      <a:hlink>
        <a:srgbClr val="0070C0"/>
      </a:hlink>
      <a:folHlink>
        <a:srgbClr val="E36C09"/>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github.com/OpenHFT/Java-Runtime-Compiler"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48"/>
  <sheetViews>
    <sheetView topLeftCell="A28" workbookViewId="0">
      <selection activeCell="D8" sqref="D8"/>
    </sheetView>
  </sheetViews>
  <sheetFormatPr defaultRowHeight="15" x14ac:dyDescent="0.25"/>
  <cols>
    <col min="1" max="1" width="16.5703125" style="12" customWidth="1"/>
    <col min="2" max="6" width="13" customWidth="1"/>
  </cols>
  <sheetData>
    <row r="1" spans="1:6" x14ac:dyDescent="0.25">
      <c r="A1" s="200" t="s">
        <v>0</v>
      </c>
      <c r="B1" s="200"/>
      <c r="C1" s="200"/>
    </row>
    <row r="2" spans="1:6" x14ac:dyDescent="0.25">
      <c r="A2" s="200"/>
      <c r="B2" s="200"/>
      <c r="C2" s="200"/>
    </row>
    <row r="3" spans="1:6" x14ac:dyDescent="0.25">
      <c r="A3" s="10"/>
      <c r="B3" s="1"/>
      <c r="C3" s="1"/>
      <c r="D3" s="1"/>
    </row>
    <row r="4" spans="1:6" x14ac:dyDescent="0.25">
      <c r="A4" s="11" t="s">
        <v>43</v>
      </c>
      <c r="B4" s="9" t="s">
        <v>40</v>
      </c>
      <c r="C4" s="7" t="s">
        <v>41</v>
      </c>
      <c r="D4" s="202" t="s">
        <v>42</v>
      </c>
      <c r="E4" s="202"/>
    </row>
    <row r="5" spans="1:6" x14ac:dyDescent="0.25">
      <c r="A5" s="201" t="s">
        <v>21</v>
      </c>
      <c r="B5" s="201"/>
      <c r="C5" s="201"/>
      <c r="D5" s="201"/>
      <c r="E5" s="201"/>
      <c r="F5" s="201"/>
    </row>
    <row r="6" spans="1:6" x14ac:dyDescent="0.25">
      <c r="A6" s="201"/>
      <c r="B6" s="201"/>
      <c r="C6" s="201"/>
      <c r="D6" s="201"/>
      <c r="E6" s="201"/>
      <c r="F6" s="201"/>
    </row>
    <row r="7" spans="1:6" x14ac:dyDescent="0.25">
      <c r="A7" s="18" t="s">
        <v>24</v>
      </c>
    </row>
    <row r="8" spans="1:6" x14ac:dyDescent="0.25">
      <c r="A8" s="199"/>
      <c r="B8" s="18" t="s">
        <v>25</v>
      </c>
    </row>
    <row r="9" spans="1:6" x14ac:dyDescent="0.25">
      <c r="A9" s="199"/>
      <c r="B9" s="18" t="s">
        <v>23</v>
      </c>
    </row>
    <row r="10" spans="1:6" x14ac:dyDescent="0.25">
      <c r="A10" s="199"/>
      <c r="C10" s="6" t="s">
        <v>35</v>
      </c>
    </row>
    <row r="11" spans="1:6" x14ac:dyDescent="0.25">
      <c r="A11" s="199"/>
      <c r="B11" s="18" t="s">
        <v>22</v>
      </c>
      <c r="C11" s="198"/>
    </row>
    <row r="12" spans="1:6" x14ac:dyDescent="0.25">
      <c r="A12" s="199"/>
      <c r="B12" s="18" t="s">
        <v>26</v>
      </c>
      <c r="C12" s="198"/>
    </row>
    <row r="13" spans="1:6" x14ac:dyDescent="0.25">
      <c r="A13" s="199"/>
      <c r="B13" s="18" t="s">
        <v>45</v>
      </c>
      <c r="C13" s="198"/>
    </row>
    <row r="14" spans="1:6" x14ac:dyDescent="0.25">
      <c r="A14" s="7" t="s">
        <v>27</v>
      </c>
      <c r="C14" s="198"/>
    </row>
    <row r="15" spans="1:6" x14ac:dyDescent="0.25">
      <c r="A15" s="199"/>
      <c r="B15" s="18" t="s">
        <v>28</v>
      </c>
      <c r="C15" s="198"/>
    </row>
    <row r="16" spans="1:6" x14ac:dyDescent="0.25">
      <c r="A16" s="199"/>
      <c r="B16" s="198"/>
      <c r="C16" s="18" t="s">
        <v>31</v>
      </c>
    </row>
    <row r="17" spans="1:4" x14ac:dyDescent="0.25">
      <c r="A17" s="199"/>
      <c r="B17" s="198"/>
      <c r="C17" s="198"/>
      <c r="D17" s="9" t="s">
        <v>39</v>
      </c>
    </row>
    <row r="18" spans="1:4" x14ac:dyDescent="0.25">
      <c r="A18" s="199"/>
      <c r="B18" s="198"/>
      <c r="C18" s="198"/>
      <c r="D18" s="9" t="s">
        <v>38</v>
      </c>
    </row>
    <row r="19" spans="1:4" x14ac:dyDescent="0.25">
      <c r="A19" s="199"/>
      <c r="B19" s="198"/>
      <c r="C19" s="198"/>
      <c r="D19" s="18" t="s">
        <v>22</v>
      </c>
    </row>
    <row r="20" spans="1:4" x14ac:dyDescent="0.25">
      <c r="A20" s="199"/>
      <c r="B20" s="198"/>
      <c r="C20" s="18" t="s">
        <v>32</v>
      </c>
    </row>
    <row r="21" spans="1:4" x14ac:dyDescent="0.25">
      <c r="A21" s="199"/>
      <c r="B21" s="198"/>
      <c r="C21" s="198"/>
      <c r="D21" s="9" t="s">
        <v>39</v>
      </c>
    </row>
    <row r="22" spans="1:4" x14ac:dyDescent="0.25">
      <c r="A22" s="199"/>
      <c r="B22" s="198"/>
      <c r="C22" s="198"/>
      <c r="D22" s="9" t="s">
        <v>38</v>
      </c>
    </row>
    <row r="23" spans="1:4" x14ac:dyDescent="0.25">
      <c r="A23" s="199"/>
      <c r="B23" s="198"/>
      <c r="C23" s="198"/>
      <c r="D23" s="18" t="s">
        <v>22</v>
      </c>
    </row>
    <row r="24" spans="1:4" x14ac:dyDescent="0.25">
      <c r="A24" s="199"/>
      <c r="B24" s="18" t="s">
        <v>29</v>
      </c>
      <c r="C24" s="198"/>
      <c r="D24" s="198"/>
    </row>
    <row r="25" spans="1:4" x14ac:dyDescent="0.25">
      <c r="A25" s="199"/>
      <c r="B25" s="198"/>
      <c r="C25" s="18" t="s">
        <v>33</v>
      </c>
      <c r="D25" s="198"/>
    </row>
    <row r="26" spans="1:4" x14ac:dyDescent="0.25">
      <c r="A26" s="199"/>
      <c r="B26" s="198"/>
      <c r="C26" s="198"/>
      <c r="D26" s="9" t="s">
        <v>39</v>
      </c>
    </row>
    <row r="27" spans="1:4" x14ac:dyDescent="0.25">
      <c r="A27" s="199"/>
      <c r="B27" s="198"/>
      <c r="C27" s="198"/>
      <c r="D27" s="18" t="s">
        <v>38</v>
      </c>
    </row>
    <row r="28" spans="1:4" x14ac:dyDescent="0.25">
      <c r="A28" s="199"/>
      <c r="B28" s="198"/>
      <c r="C28" s="198"/>
      <c r="D28" s="18" t="s">
        <v>22</v>
      </c>
    </row>
    <row r="29" spans="1:4" x14ac:dyDescent="0.25">
      <c r="A29" s="199"/>
      <c r="B29" s="198"/>
      <c r="C29" s="18" t="s">
        <v>34</v>
      </c>
    </row>
    <row r="30" spans="1:4" x14ac:dyDescent="0.25">
      <c r="A30" s="199"/>
      <c r="B30" s="198"/>
      <c r="C30" s="198"/>
      <c r="D30" s="18" t="s">
        <v>39</v>
      </c>
    </row>
    <row r="31" spans="1:4" x14ac:dyDescent="0.25">
      <c r="A31" s="199"/>
      <c r="B31" s="198"/>
      <c r="C31" s="198"/>
      <c r="D31" s="18" t="s">
        <v>38</v>
      </c>
    </row>
    <row r="32" spans="1:4" x14ac:dyDescent="0.25">
      <c r="A32" s="199"/>
      <c r="B32" s="198"/>
      <c r="C32" s="198"/>
      <c r="D32" s="18" t="s">
        <v>22</v>
      </c>
    </row>
    <row r="33" spans="1:4" x14ac:dyDescent="0.25">
      <c r="A33" s="199"/>
      <c r="B33" s="18" t="s">
        <v>30</v>
      </c>
      <c r="C33" s="198"/>
      <c r="D33" s="198"/>
    </row>
    <row r="34" spans="1:4" x14ac:dyDescent="0.25">
      <c r="A34" s="199"/>
      <c r="B34" s="198"/>
      <c r="C34" s="18" t="s">
        <v>33</v>
      </c>
      <c r="D34" s="198"/>
    </row>
    <row r="35" spans="1:4" x14ac:dyDescent="0.25">
      <c r="A35" s="199"/>
      <c r="B35" s="198"/>
      <c r="C35" s="203"/>
      <c r="D35" s="18" t="s">
        <v>39</v>
      </c>
    </row>
    <row r="36" spans="1:4" x14ac:dyDescent="0.25">
      <c r="A36" s="199"/>
      <c r="B36" s="198"/>
      <c r="C36" s="203"/>
      <c r="D36" s="18" t="s">
        <v>38</v>
      </c>
    </row>
    <row r="37" spans="1:4" x14ac:dyDescent="0.25">
      <c r="A37" s="199"/>
      <c r="B37" s="198"/>
      <c r="C37" s="203"/>
      <c r="D37" s="18" t="s">
        <v>22</v>
      </c>
    </row>
    <row r="38" spans="1:4" x14ac:dyDescent="0.25">
      <c r="A38" s="199"/>
      <c r="B38" s="198"/>
      <c r="C38" s="18" t="s">
        <v>34</v>
      </c>
    </row>
    <row r="39" spans="1:4" x14ac:dyDescent="0.25">
      <c r="A39" s="199"/>
      <c r="B39" s="198"/>
      <c r="C39" s="198"/>
      <c r="D39" s="18" t="s">
        <v>39</v>
      </c>
    </row>
    <row r="40" spans="1:4" x14ac:dyDescent="0.25">
      <c r="A40" s="199"/>
      <c r="B40" s="198"/>
      <c r="C40" s="198"/>
      <c r="D40" s="18" t="s">
        <v>38</v>
      </c>
    </row>
    <row r="41" spans="1:4" x14ac:dyDescent="0.25">
      <c r="A41" s="199"/>
      <c r="B41" s="198"/>
      <c r="C41" s="198"/>
      <c r="D41" s="18" t="s">
        <v>22</v>
      </c>
    </row>
    <row r="42" spans="1:4" x14ac:dyDescent="0.25">
      <c r="A42" s="7" t="s">
        <v>659</v>
      </c>
      <c r="B42" s="198"/>
      <c r="C42" s="198"/>
    </row>
    <row r="43" spans="1:4" x14ac:dyDescent="0.25">
      <c r="B43" s="18" t="s">
        <v>36</v>
      </c>
      <c r="C43" s="198"/>
    </row>
    <row r="44" spans="1:4" x14ac:dyDescent="0.25">
      <c r="C44" s="18" t="s">
        <v>38</v>
      </c>
    </row>
    <row r="45" spans="1:4" x14ac:dyDescent="0.25">
      <c r="B45" s="6" t="s">
        <v>37</v>
      </c>
    </row>
    <row r="46" spans="1:4" x14ac:dyDescent="0.25">
      <c r="C46" s="18" t="s">
        <v>38</v>
      </c>
    </row>
    <row r="47" spans="1:4" x14ac:dyDescent="0.25">
      <c r="C47" s="18" t="s">
        <v>44</v>
      </c>
    </row>
    <row r="48" spans="1:4" x14ac:dyDescent="0.25">
      <c r="A48" s="8"/>
    </row>
  </sheetData>
  <mergeCells count="17">
    <mergeCell ref="C17:C19"/>
    <mergeCell ref="C21:C24"/>
    <mergeCell ref="B16:B23"/>
    <mergeCell ref="C11:C15"/>
    <mergeCell ref="A8:A13"/>
    <mergeCell ref="A1:C2"/>
    <mergeCell ref="A5:F6"/>
    <mergeCell ref="D4:E4"/>
    <mergeCell ref="A15:A41"/>
    <mergeCell ref="B34:B42"/>
    <mergeCell ref="C39:C43"/>
    <mergeCell ref="C35:C37"/>
    <mergeCell ref="D33:D34"/>
    <mergeCell ref="C30:C33"/>
    <mergeCell ref="C26:C28"/>
    <mergeCell ref="B25:B32"/>
    <mergeCell ref="D24:D25"/>
  </mergeCells>
  <pageMargins left="0.7" right="0.7" top="0.75" bottom="0.75" header="0.3" footer="0.3"/>
  <pageSetup paperSize="9"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6"/>
  <sheetViews>
    <sheetView workbookViewId="0">
      <pane xSplit="1" topLeftCell="B1" activePane="topRight" state="frozen"/>
      <selection pane="topRight" activeCell="T6" sqref="T6"/>
    </sheetView>
  </sheetViews>
  <sheetFormatPr defaultRowHeight="15" x14ac:dyDescent="0.25"/>
  <cols>
    <col min="1" max="1" width="32.5703125" style="1" customWidth="1"/>
    <col min="2" max="11" width="32.5703125" customWidth="1"/>
    <col min="12" max="12" width="34.7109375" customWidth="1"/>
    <col min="13" max="13" width="35.28515625" customWidth="1"/>
    <col min="14" max="16" width="32.5703125" customWidth="1"/>
    <col min="17" max="17" width="33.5703125" customWidth="1"/>
    <col min="18" max="18" width="35.28515625" customWidth="1"/>
    <col min="19" max="21" width="26.42578125" customWidth="1"/>
    <col min="22" max="22" width="27.5703125" customWidth="1"/>
    <col min="23" max="23" width="26.42578125" customWidth="1"/>
    <col min="24" max="32" width="26.28515625" style="95" customWidth="1"/>
  </cols>
  <sheetData>
    <row r="1" spans="1:32" ht="34.5" customHeight="1" x14ac:dyDescent="0.25">
      <c r="A1" s="5" t="s">
        <v>13</v>
      </c>
      <c r="B1" s="204" t="s">
        <v>1</v>
      </c>
      <c r="C1" s="204"/>
      <c r="D1" s="204"/>
      <c r="E1" s="204"/>
      <c r="F1" s="205" t="s">
        <v>16</v>
      </c>
      <c r="G1" s="205"/>
      <c r="H1" s="205"/>
      <c r="I1" s="205"/>
      <c r="J1" s="205"/>
      <c r="K1" s="205"/>
      <c r="L1" s="205"/>
      <c r="M1" s="205"/>
      <c r="N1" s="54" t="s">
        <v>123</v>
      </c>
      <c r="O1" s="206" t="s">
        <v>289</v>
      </c>
      <c r="P1" s="206"/>
      <c r="Q1" s="206"/>
      <c r="R1" s="206"/>
      <c r="S1" s="206"/>
      <c r="T1" s="116"/>
      <c r="U1" s="116"/>
      <c r="V1" s="116"/>
      <c r="W1" s="116"/>
      <c r="X1" s="207" t="s">
        <v>390</v>
      </c>
      <c r="Y1" s="207"/>
      <c r="Z1" s="207"/>
    </row>
    <row r="2" spans="1:32" s="2" customFormat="1" ht="37.5" customHeight="1" x14ac:dyDescent="0.25">
      <c r="A2" s="2" t="s">
        <v>4</v>
      </c>
      <c r="B2" s="5" t="s">
        <v>1</v>
      </c>
      <c r="C2" s="5" t="s">
        <v>9</v>
      </c>
      <c r="D2" s="5" t="s">
        <v>10</v>
      </c>
      <c r="E2" s="5" t="s">
        <v>12</v>
      </c>
      <c r="F2" s="2" t="s">
        <v>16</v>
      </c>
      <c r="G2" s="2" t="s">
        <v>14</v>
      </c>
      <c r="H2" s="93" t="s">
        <v>388</v>
      </c>
      <c r="I2" s="2" t="s">
        <v>18</v>
      </c>
      <c r="J2" s="93" t="s">
        <v>389</v>
      </c>
      <c r="K2" s="2" t="s">
        <v>19</v>
      </c>
      <c r="L2" s="2" t="s">
        <v>75</v>
      </c>
      <c r="M2" s="2" t="s">
        <v>76</v>
      </c>
      <c r="O2" s="2" t="s">
        <v>290</v>
      </c>
      <c r="P2" s="2" t="s">
        <v>291</v>
      </c>
      <c r="Q2" s="2" t="s">
        <v>293</v>
      </c>
      <c r="R2" s="83" t="s">
        <v>304</v>
      </c>
      <c r="S2" s="2" t="s">
        <v>305</v>
      </c>
      <c r="T2" s="115" t="s">
        <v>460</v>
      </c>
      <c r="U2" s="115" t="s">
        <v>461</v>
      </c>
      <c r="V2" s="115" t="s">
        <v>462</v>
      </c>
      <c r="W2" s="115" t="s">
        <v>463</v>
      </c>
      <c r="X2" s="96" t="s">
        <v>390</v>
      </c>
      <c r="Y2" s="96" t="s">
        <v>392</v>
      </c>
      <c r="Z2" s="96" t="s">
        <v>396</v>
      </c>
      <c r="AA2" s="96"/>
      <c r="AB2" s="96"/>
      <c r="AC2" s="96"/>
      <c r="AD2" s="96"/>
      <c r="AE2" s="96"/>
      <c r="AF2" s="96"/>
    </row>
    <row r="3" spans="1:32" s="3" customFormat="1" ht="37.5" customHeight="1" x14ac:dyDescent="0.25">
      <c r="A3" s="2" t="s">
        <v>5</v>
      </c>
      <c r="B3" s="3" t="s">
        <v>11</v>
      </c>
      <c r="C3" s="3" t="s">
        <v>11</v>
      </c>
      <c r="D3" s="3" t="s">
        <v>11</v>
      </c>
      <c r="E3" s="3" t="s">
        <v>11</v>
      </c>
      <c r="F3" s="3" t="s">
        <v>17</v>
      </c>
      <c r="G3" s="3" t="s">
        <v>15</v>
      </c>
      <c r="H3" s="16" t="s">
        <v>15</v>
      </c>
      <c r="I3" s="3" t="s">
        <v>15</v>
      </c>
      <c r="J3" s="16" t="s">
        <v>15</v>
      </c>
      <c r="K3" s="3" t="s">
        <v>15</v>
      </c>
      <c r="L3" s="3" t="s">
        <v>77</v>
      </c>
      <c r="M3" s="16" t="s">
        <v>77</v>
      </c>
      <c r="T3" s="17" t="s">
        <v>459</v>
      </c>
      <c r="U3" s="17" t="s">
        <v>459</v>
      </c>
      <c r="V3" s="17" t="s">
        <v>459</v>
      </c>
      <c r="W3" s="17" t="s">
        <v>459</v>
      </c>
      <c r="X3" s="17" t="s">
        <v>391</v>
      </c>
      <c r="Y3" s="17" t="s">
        <v>391</v>
      </c>
      <c r="Z3" s="17" t="s">
        <v>391</v>
      </c>
      <c r="AA3" s="17"/>
      <c r="AB3" s="17"/>
      <c r="AC3" s="17"/>
      <c r="AD3" s="17"/>
      <c r="AE3" s="17"/>
      <c r="AF3" s="17"/>
    </row>
    <row r="4" spans="1:32" s="3" customFormat="1" ht="37.5" customHeight="1" x14ac:dyDescent="0.25">
      <c r="A4" s="2" t="s">
        <v>2</v>
      </c>
      <c r="B4" s="3" t="s">
        <v>6</v>
      </c>
      <c r="C4" s="3" t="s">
        <v>6</v>
      </c>
      <c r="D4" s="3" t="s">
        <v>1</v>
      </c>
      <c r="E4" s="3" t="s">
        <v>1</v>
      </c>
      <c r="F4" s="3" t="s">
        <v>1</v>
      </c>
      <c r="G4" s="3" t="s">
        <v>16</v>
      </c>
      <c r="H4" s="16"/>
      <c r="I4" s="3" t="s">
        <v>6</v>
      </c>
      <c r="J4" s="16"/>
      <c r="K4" s="3" t="s">
        <v>6</v>
      </c>
      <c r="L4" s="3" t="s">
        <v>6</v>
      </c>
      <c r="M4" s="16" t="s">
        <v>6</v>
      </c>
      <c r="O4" s="3" t="s">
        <v>16</v>
      </c>
      <c r="P4" s="3" t="s">
        <v>290</v>
      </c>
      <c r="Q4" s="3" t="s">
        <v>290</v>
      </c>
      <c r="T4" s="16"/>
      <c r="U4" s="16"/>
      <c r="V4" s="16"/>
      <c r="W4" s="16"/>
      <c r="X4" s="17"/>
      <c r="Y4" s="17"/>
      <c r="Z4" s="17"/>
      <c r="AA4" s="17"/>
      <c r="AB4" s="17"/>
      <c r="AC4" s="17"/>
      <c r="AD4" s="17"/>
      <c r="AE4" s="17"/>
      <c r="AF4" s="17"/>
    </row>
    <row r="5" spans="1:32" s="3" customFormat="1" ht="37.5" customHeight="1" x14ac:dyDescent="0.25">
      <c r="A5" s="2" t="s">
        <v>3</v>
      </c>
      <c r="H5" s="16" t="s">
        <v>7</v>
      </c>
      <c r="J5" s="16" t="s">
        <v>7</v>
      </c>
      <c r="K5" s="3" t="s">
        <v>6</v>
      </c>
      <c r="L5" s="16" t="s">
        <v>6</v>
      </c>
      <c r="M5" s="16" t="s">
        <v>6</v>
      </c>
      <c r="T5" s="16"/>
      <c r="U5" s="16"/>
      <c r="V5" s="17" t="s">
        <v>7</v>
      </c>
      <c r="W5" s="17" t="s">
        <v>7</v>
      </c>
      <c r="X5" s="17" t="s">
        <v>7</v>
      </c>
      <c r="Y5" s="17" t="s">
        <v>7</v>
      </c>
      <c r="Z5" s="17" t="s">
        <v>7</v>
      </c>
      <c r="AA5" s="17"/>
      <c r="AB5" s="17"/>
      <c r="AC5" s="17"/>
      <c r="AD5" s="17"/>
      <c r="AE5" s="17"/>
      <c r="AF5" s="17"/>
    </row>
    <row r="6" spans="1:32" s="3" customFormat="1" ht="175.5" customHeight="1" x14ac:dyDescent="0.25">
      <c r="A6" s="2" t="s">
        <v>8</v>
      </c>
      <c r="B6" s="4" t="s">
        <v>139</v>
      </c>
      <c r="C6" s="4" t="s">
        <v>140</v>
      </c>
      <c r="D6" s="3" t="s">
        <v>78</v>
      </c>
      <c r="E6" s="3" t="s">
        <v>79</v>
      </c>
      <c r="F6" s="4" t="s">
        <v>418</v>
      </c>
      <c r="G6" s="4" t="s">
        <v>219</v>
      </c>
      <c r="H6" s="17" t="s">
        <v>394</v>
      </c>
      <c r="I6" s="4" t="s">
        <v>457</v>
      </c>
      <c r="J6" s="17" t="s">
        <v>458</v>
      </c>
      <c r="K6" s="4" t="s">
        <v>20</v>
      </c>
      <c r="L6" s="22" t="s">
        <v>98</v>
      </c>
      <c r="M6" s="17" t="s">
        <v>80</v>
      </c>
      <c r="O6" s="17" t="s">
        <v>320</v>
      </c>
      <c r="P6" s="17" t="s">
        <v>292</v>
      </c>
      <c r="Q6" s="17" t="s">
        <v>308</v>
      </c>
      <c r="R6" s="17" t="s">
        <v>307</v>
      </c>
      <c r="S6" s="17" t="s">
        <v>306</v>
      </c>
      <c r="T6" s="17" t="s">
        <v>467</v>
      </c>
      <c r="U6" s="17" t="s">
        <v>464</v>
      </c>
      <c r="V6" s="17" t="s">
        <v>466</v>
      </c>
      <c r="W6" s="17" t="s">
        <v>465</v>
      </c>
      <c r="X6" s="17" t="s">
        <v>393</v>
      </c>
      <c r="Y6" s="17" t="s">
        <v>395</v>
      </c>
      <c r="Z6" s="17" t="s">
        <v>397</v>
      </c>
      <c r="AA6" s="17"/>
      <c r="AB6" s="17"/>
      <c r="AC6" s="17"/>
      <c r="AD6" s="17"/>
      <c r="AE6" s="17"/>
      <c r="AF6" s="17"/>
    </row>
  </sheetData>
  <mergeCells count="4">
    <mergeCell ref="B1:E1"/>
    <mergeCell ref="F1:M1"/>
    <mergeCell ref="O1:S1"/>
    <mergeCell ref="X1:Z1"/>
  </mergeCells>
  <pageMargins left="0.7" right="0.7" top="0.75" bottom="0.75" header="0.3" footer="0.3"/>
  <pageSetup paperSize="9" orientation="portrait"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14"/>
  <sheetViews>
    <sheetView topLeftCell="G1" workbookViewId="0">
      <selection activeCell="V8" sqref="V8"/>
    </sheetView>
  </sheetViews>
  <sheetFormatPr defaultRowHeight="15" x14ac:dyDescent="0.25"/>
  <cols>
    <col min="3" max="3" width="9.140625" customWidth="1"/>
    <col min="8" max="10" width="11.140625" customWidth="1"/>
    <col min="18" max="18" width="11" customWidth="1"/>
  </cols>
  <sheetData>
    <row r="1" spans="1:20" x14ac:dyDescent="0.25">
      <c r="A1" s="208" t="s">
        <v>116</v>
      </c>
      <c r="B1" s="208"/>
      <c r="C1" s="208"/>
      <c r="D1" s="208"/>
      <c r="H1" s="208" t="s">
        <v>121</v>
      </c>
      <c r="I1" s="208"/>
      <c r="J1" s="208"/>
      <c r="K1" s="208"/>
      <c r="L1" s="208"/>
      <c r="N1" s="208" t="s">
        <v>481</v>
      </c>
      <c r="O1" s="208"/>
      <c r="P1" s="208"/>
      <c r="Q1" s="208"/>
      <c r="R1" s="208"/>
      <c r="S1" s="208"/>
      <c r="T1" s="208"/>
    </row>
    <row r="2" spans="1:20" x14ac:dyDescent="0.25">
      <c r="A2" s="208"/>
      <c r="B2" s="208"/>
      <c r="C2" s="208"/>
      <c r="D2" s="208"/>
      <c r="H2" s="208"/>
      <c r="I2" s="208"/>
      <c r="J2" s="208"/>
      <c r="K2" s="208"/>
      <c r="L2" s="208"/>
      <c r="N2" s="208"/>
      <c r="O2" s="208"/>
      <c r="P2" s="208"/>
      <c r="Q2" s="208"/>
      <c r="R2" s="208"/>
      <c r="S2" s="208"/>
      <c r="T2" s="208"/>
    </row>
    <row r="3" spans="1:20" x14ac:dyDescent="0.25">
      <c r="A3" t="s">
        <v>59</v>
      </c>
      <c r="B3" t="s">
        <v>117</v>
      </c>
      <c r="C3" t="s">
        <v>118</v>
      </c>
      <c r="H3" s="38" t="s">
        <v>59</v>
      </c>
      <c r="I3" s="38" t="s">
        <v>117</v>
      </c>
      <c r="J3" s="38" t="s">
        <v>118</v>
      </c>
      <c r="N3" s="119" t="s">
        <v>469</v>
      </c>
      <c r="O3" s="119" t="s">
        <v>117</v>
      </c>
      <c r="P3" s="119" t="s">
        <v>118</v>
      </c>
      <c r="R3" s="119" t="s">
        <v>59</v>
      </c>
      <c r="S3" s="119" t="s">
        <v>117</v>
      </c>
      <c r="T3" s="119" t="s">
        <v>118</v>
      </c>
    </row>
    <row r="4" spans="1:20" x14ac:dyDescent="0.25">
      <c r="A4" s="25" t="s">
        <v>94</v>
      </c>
      <c r="B4" s="39">
        <f>COUNTIF(Planning!M3:M1048576,"Yes")</f>
        <v>17</v>
      </c>
      <c r="C4" s="42">
        <f>B4/B7</f>
        <v>0.44736842105263158</v>
      </c>
      <c r="H4" s="27" t="s">
        <v>60</v>
      </c>
      <c r="I4" s="46">
        <f>COUNTIF(Checklist!D2:D1048576,"Completed")</f>
        <v>144</v>
      </c>
      <c r="J4" s="51">
        <f>I4/I8</f>
        <v>0.76595744680851063</v>
      </c>
      <c r="N4" s="150" t="s">
        <v>607</v>
      </c>
      <c r="O4" s="124">
        <f>COUNTIF(Testing!B2:B1048576,"WhiteBox")</f>
        <v>124</v>
      </c>
      <c r="P4" s="127">
        <f>O4 /O7</f>
        <v>0.47876447876447875</v>
      </c>
      <c r="R4" s="118" t="s">
        <v>40</v>
      </c>
      <c r="S4">
        <f>COUNTIF(Testing!C2:C1048576,"Finished")</f>
        <v>165</v>
      </c>
      <c r="T4" s="126">
        <f>S4/S9</f>
        <v>0.63706563706563701</v>
      </c>
    </row>
    <row r="5" spans="1:20" x14ac:dyDescent="0.25">
      <c r="A5" s="25" t="s">
        <v>82</v>
      </c>
      <c r="B5" s="40">
        <f>COUNTIF(Planning!M3:M1048576,"No")</f>
        <v>8</v>
      </c>
      <c r="C5" s="44">
        <f>B5/B7</f>
        <v>0.21052631578947367</v>
      </c>
      <c r="H5" s="27" t="s">
        <v>64</v>
      </c>
      <c r="I5" s="47">
        <f>COUNTIF(Checklist!D2:D1048576,"Not Started")</f>
        <v>31</v>
      </c>
      <c r="J5" s="52">
        <f>I5/I8</f>
        <v>0.16489361702127658</v>
      </c>
      <c r="N5" s="150" t="s">
        <v>606</v>
      </c>
      <c r="O5" s="122">
        <f>COUNTIF(Testing!B2:B1048576,"GrayBox")</f>
        <v>83</v>
      </c>
      <c r="P5" s="130">
        <f>O5/ O7</f>
        <v>0.32046332046332049</v>
      </c>
      <c r="R5" s="118" t="s">
        <v>470</v>
      </c>
      <c r="S5">
        <f>COUNTIF(Testing!C2:C1048576,"Error")</f>
        <v>10</v>
      </c>
      <c r="T5" s="126">
        <f>S5/S9</f>
        <v>3.8610038610038609E-2</v>
      </c>
    </row>
    <row r="6" spans="1:20" x14ac:dyDescent="0.25">
      <c r="A6" s="25" t="s">
        <v>106</v>
      </c>
      <c r="B6" s="41">
        <f>COUNTIF(Planning!M3:M1048576,"Some")</f>
        <v>13</v>
      </c>
      <c r="C6" s="43">
        <f>B6/B7</f>
        <v>0.34210526315789475</v>
      </c>
      <c r="H6" s="27" t="s">
        <v>120</v>
      </c>
      <c r="I6" s="48">
        <f>COUNTIF(Checklist!D2:D1048576,"working")</f>
        <v>7</v>
      </c>
      <c r="J6" s="50">
        <f>I6/I8</f>
        <v>3.7234042553191488E-2</v>
      </c>
      <c r="N6" s="150" t="s">
        <v>605</v>
      </c>
      <c r="O6" s="131">
        <f>COUNTIF(Testing!B2:B1048576,"BlackBox")</f>
        <v>52</v>
      </c>
      <c r="P6" s="132">
        <f>O6/O7</f>
        <v>0.20077220077220076</v>
      </c>
      <c r="R6" s="120" t="s">
        <v>471</v>
      </c>
      <c r="S6">
        <f>COUNTIF(Testing!C2:C1048576,"Fixed")</f>
        <v>84</v>
      </c>
      <c r="T6" s="126">
        <f>S6/S9</f>
        <v>0.32432432432432434</v>
      </c>
    </row>
    <row r="7" spans="1:20" x14ac:dyDescent="0.25">
      <c r="A7" s="38" t="s">
        <v>119</v>
      </c>
      <c r="B7">
        <f>SUM(B4:B6)</f>
        <v>38</v>
      </c>
      <c r="H7" s="27" t="s">
        <v>122</v>
      </c>
      <c r="I7" s="49">
        <f>COUNTIF(Checklist!D2:D1048576,"Fixing")</f>
        <v>6</v>
      </c>
      <c r="J7" s="53">
        <f>I7/I8</f>
        <v>3.1914893617021274E-2</v>
      </c>
      <c r="N7" s="118" t="s">
        <v>119</v>
      </c>
      <c r="O7" s="133">
        <f>SUM(O4:O6)</f>
        <v>259</v>
      </c>
      <c r="P7" s="134"/>
      <c r="R7" s="118" t="s">
        <v>122</v>
      </c>
      <c r="S7">
        <f>COUNTIF(Testing!C2:C1048576,"Fixing")</f>
        <v>0</v>
      </c>
      <c r="T7" s="126">
        <f>S7/S9</f>
        <v>0</v>
      </c>
    </row>
    <row r="8" spans="1:20" x14ac:dyDescent="0.25">
      <c r="H8" s="38" t="s">
        <v>119</v>
      </c>
      <c r="I8" s="45">
        <f>SUM(I4:I7)</f>
        <v>188</v>
      </c>
      <c r="J8" s="45"/>
      <c r="N8" s="118"/>
      <c r="O8" s="123"/>
      <c r="P8" s="135"/>
      <c r="R8" s="142" t="s">
        <v>64</v>
      </c>
      <c r="S8">
        <f>COUNTIF(Testing!C2:C1048576,"Not Started")</f>
        <v>0</v>
      </c>
      <c r="T8" s="126">
        <f>S8/S9</f>
        <v>0</v>
      </c>
    </row>
    <row r="9" spans="1:20" x14ac:dyDescent="0.25">
      <c r="N9" s="118"/>
      <c r="O9" s="136"/>
      <c r="P9" s="137"/>
      <c r="R9" s="141" t="s">
        <v>119</v>
      </c>
      <c r="S9">
        <f>SUM(S4:S8)</f>
        <v>259</v>
      </c>
    </row>
    <row r="10" spans="1:20" x14ac:dyDescent="0.25">
      <c r="N10" s="118"/>
      <c r="O10" s="40"/>
      <c r="P10" s="44"/>
    </row>
    <row r="11" spans="1:20" x14ac:dyDescent="0.25">
      <c r="N11" s="118"/>
      <c r="O11" s="125"/>
      <c r="P11" s="138"/>
    </row>
    <row r="12" spans="1:20" x14ac:dyDescent="0.25">
      <c r="N12" s="118"/>
      <c r="O12" s="128"/>
      <c r="P12" s="129"/>
    </row>
    <row r="13" spans="1:20" x14ac:dyDescent="0.25">
      <c r="N13" s="118"/>
      <c r="P13" s="126"/>
    </row>
    <row r="14" spans="1:20" x14ac:dyDescent="0.25">
      <c r="N14" s="118"/>
    </row>
  </sheetData>
  <mergeCells count="3">
    <mergeCell ref="A1:D2"/>
    <mergeCell ref="H1:L2"/>
    <mergeCell ref="N1:T2"/>
  </mergeCells>
  <conditionalFormatting sqref="A4">
    <cfRule type="cellIs" dxfId="114" priority="55" operator="equal">
      <formula>"Some"</formula>
    </cfRule>
    <cfRule type="cellIs" dxfId="113" priority="56" operator="equal">
      <formula>"Some"</formula>
    </cfRule>
    <cfRule type="cellIs" dxfId="112" priority="57" operator="equal">
      <formula>"No"</formula>
    </cfRule>
    <cfRule type="cellIs" dxfId="111" priority="58" operator="equal">
      <formula>"Yes"</formula>
    </cfRule>
  </conditionalFormatting>
  <conditionalFormatting sqref="A5">
    <cfRule type="cellIs" dxfId="110" priority="51" operator="equal">
      <formula>"Some"</formula>
    </cfRule>
    <cfRule type="cellIs" dxfId="109" priority="52" operator="equal">
      <formula>"Some"</formula>
    </cfRule>
    <cfRule type="cellIs" dxfId="108" priority="53" operator="equal">
      <formula>"No"</formula>
    </cfRule>
    <cfRule type="cellIs" dxfId="107" priority="54" operator="equal">
      <formula>"Yes"</formula>
    </cfRule>
  </conditionalFormatting>
  <conditionalFormatting sqref="A6">
    <cfRule type="cellIs" dxfId="106" priority="47" operator="equal">
      <formula>"Some"</formula>
    </cfRule>
    <cfRule type="cellIs" dxfId="105" priority="48" operator="equal">
      <formula>"Some"</formula>
    </cfRule>
    <cfRule type="cellIs" dxfId="104" priority="49" operator="equal">
      <formula>"No"</formula>
    </cfRule>
    <cfRule type="cellIs" dxfId="103" priority="50" operator="equal">
      <formula>"Yes"</formula>
    </cfRule>
  </conditionalFormatting>
  <conditionalFormatting sqref="H4">
    <cfRule type="cellIs" dxfId="102" priority="42" operator="equal">
      <formula>"Fixing"</formula>
    </cfRule>
    <cfRule type="cellIs" dxfId="101" priority="43" operator="equal">
      <formula>"Working"</formula>
    </cfRule>
    <cfRule type="cellIs" dxfId="100" priority="44" operator="equal">
      <formula>"Not started"</formula>
    </cfRule>
    <cfRule type="cellIs" dxfId="99" priority="45" operator="equal">
      <formula>"Completed"</formula>
    </cfRule>
    <cfRule type="cellIs" dxfId="98" priority="46" operator="equal">
      <formula>"Completed"</formula>
    </cfRule>
  </conditionalFormatting>
  <conditionalFormatting sqref="H5">
    <cfRule type="cellIs" dxfId="97" priority="37" operator="equal">
      <formula>"Fixing"</formula>
    </cfRule>
    <cfRule type="cellIs" dxfId="96" priority="38" operator="equal">
      <formula>"Working"</formula>
    </cfRule>
    <cfRule type="cellIs" dxfId="95" priority="39" operator="equal">
      <formula>"Not started"</formula>
    </cfRule>
    <cfRule type="cellIs" dxfId="94" priority="40" operator="equal">
      <formula>"Completed"</formula>
    </cfRule>
    <cfRule type="cellIs" dxfId="93" priority="41" operator="equal">
      <formula>"Completed"</formula>
    </cfRule>
  </conditionalFormatting>
  <conditionalFormatting sqref="H6">
    <cfRule type="cellIs" dxfId="92" priority="32" operator="equal">
      <formula>"Fixing"</formula>
    </cfRule>
    <cfRule type="cellIs" dxfId="91" priority="33" operator="equal">
      <formula>"Working"</formula>
    </cfRule>
    <cfRule type="cellIs" dxfId="90" priority="34" operator="equal">
      <formula>"Not started"</formula>
    </cfRule>
    <cfRule type="cellIs" dxfId="89" priority="35" operator="equal">
      <formula>"Completed"</formula>
    </cfRule>
    <cfRule type="cellIs" dxfId="88" priority="36" operator="equal">
      <formula>"Completed"</formula>
    </cfRule>
  </conditionalFormatting>
  <conditionalFormatting sqref="H7">
    <cfRule type="cellIs" dxfId="87" priority="27" operator="equal">
      <formula>"Fixing"</formula>
    </cfRule>
    <cfRule type="cellIs" dxfId="86" priority="28" operator="equal">
      <formula>"Working"</formula>
    </cfRule>
    <cfRule type="cellIs" dxfId="85" priority="29" operator="equal">
      <formula>"Not started"</formula>
    </cfRule>
    <cfRule type="cellIs" dxfId="84" priority="30" operator="equal">
      <formula>"Completed"</formula>
    </cfRule>
    <cfRule type="cellIs" dxfId="83" priority="31" operator="equal">
      <formula>"Completed"</formula>
    </cfRule>
  </conditionalFormatting>
  <conditionalFormatting sqref="N7:N14">
    <cfRule type="cellIs" dxfId="82" priority="17" operator="equal">
      <formula>"Code"</formula>
    </cfRule>
    <cfRule type="cellIs" dxfId="81" priority="18" operator="equal">
      <formula>"Efficiency"</formula>
    </cfRule>
    <cfRule type="cellIs" dxfId="80" priority="19" operator="equal">
      <formula>"JavaFX"</formula>
    </cfRule>
    <cfRule type="cellIs" dxfId="79" priority="20" operator="equal">
      <formula>"FER"</formula>
    </cfRule>
    <cfRule type="cellIs" dxfId="78" priority="21" operator="equal">
      <formula>"Database"</formula>
    </cfRule>
    <cfRule type="cellIs" dxfId="77" priority="22" operator="equal">
      <formula>"GUI"</formula>
    </cfRule>
    <cfRule type="cellIs" dxfId="76" priority="23" operator="equal">
      <formula>"User"</formula>
    </cfRule>
    <cfRule type="cellIs" dxfId="75" priority="24" operator="equal">
      <formula>"Exams"</formula>
    </cfRule>
    <cfRule type="cellIs" dxfId="74" priority="25" operator="equal">
      <formula>"Exercises"</formula>
    </cfRule>
    <cfRule type="cellIs" dxfId="73" priority="26" operator="equal">
      <formula>"Lessons"</formula>
    </cfRule>
  </conditionalFormatting>
  <conditionalFormatting sqref="R4:R7">
    <cfRule type="cellIs" dxfId="72" priority="13" operator="equal">
      <formula>"Fixing"</formula>
    </cfRule>
    <cfRule type="cellIs" dxfId="71" priority="14" operator="equal">
      <formula>"Fixed"</formula>
    </cfRule>
    <cfRule type="cellIs" dxfId="70" priority="15" operator="equal">
      <formula>"Error"</formula>
    </cfRule>
    <cfRule type="cellIs" dxfId="69" priority="16" operator="equal">
      <formula>"Finished"</formula>
    </cfRule>
  </conditionalFormatting>
  <conditionalFormatting sqref="R9">
    <cfRule type="cellIs" dxfId="68" priority="9" operator="equal">
      <formula>"Fixing"</formula>
    </cfRule>
    <cfRule type="cellIs" dxfId="67" priority="10" operator="equal">
      <formula>"Fixed"</formula>
    </cfRule>
    <cfRule type="cellIs" dxfId="66" priority="11" operator="equal">
      <formula>"Error"</formula>
    </cfRule>
    <cfRule type="cellIs" dxfId="65" priority="12" operator="equal">
      <formula>"Finished"</formula>
    </cfRule>
  </conditionalFormatting>
  <conditionalFormatting sqref="R8">
    <cfRule type="cellIs" dxfId="64" priority="4" operator="equal">
      <formula>"Not Started"</formula>
    </cfRule>
    <cfRule type="cellIs" dxfId="63" priority="5" operator="equal">
      <formula>"Fixing"</formula>
    </cfRule>
    <cfRule type="cellIs" dxfId="62" priority="6" operator="equal">
      <formula>"Fixed"</formula>
    </cfRule>
    <cfRule type="cellIs" dxfId="61" priority="7" operator="equal">
      <formula>"Error"</formula>
    </cfRule>
    <cfRule type="cellIs" dxfId="60" priority="8" operator="equal">
      <formula>"Finished"</formula>
    </cfRule>
  </conditionalFormatting>
  <conditionalFormatting sqref="N4:N6">
    <cfRule type="cellIs" dxfId="59" priority="1" operator="equal">
      <formula>"WhiteBox"</formula>
    </cfRule>
    <cfRule type="cellIs" dxfId="58" priority="2" operator="equal">
      <formula>"BlackBox"</formula>
    </cfRule>
    <cfRule type="cellIs" dxfId="57" priority="3" operator="equal">
      <formula>"GrayBox"</formula>
    </cfRule>
  </conditionalFormatting>
  <hyperlinks>
    <hyperlink ref="A1:D2" location="Planning!A1" display="Summary Planning"/>
    <hyperlink ref="H1:L2" location="Checklist!A1" display="Summary Checklist"/>
    <hyperlink ref="N1:T2" location="Testing!A1" display="Summary Tests"/>
  </hyperlinks>
  <pageMargins left="0.7" right="0.7" top="0.75" bottom="0.75" header="0.3" footer="0.3"/>
  <pageSetup paperSize="9" orientation="portrait"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41"/>
  <sheetViews>
    <sheetView workbookViewId="0">
      <pane ySplit="2" topLeftCell="A3" activePane="bottomLeft" state="frozen"/>
      <selection pane="bottomLeft" activeCell="A2" sqref="A2"/>
    </sheetView>
  </sheetViews>
  <sheetFormatPr defaultRowHeight="15" x14ac:dyDescent="0.25"/>
  <cols>
    <col min="1" max="3" width="19.42578125" style="36" customWidth="1"/>
    <col min="4" max="4" width="27.140625" style="36" customWidth="1"/>
    <col min="5" max="5" width="19.42578125" style="36" customWidth="1"/>
    <col min="6" max="6" width="23.28515625" style="36" customWidth="1"/>
    <col min="7" max="9" width="19.42578125" style="36" customWidth="1"/>
    <col min="10" max="10" width="12.85546875" style="70" customWidth="1"/>
    <col min="11" max="11" width="13.28515625" style="60" customWidth="1"/>
    <col min="12" max="12" width="19.7109375" style="20" customWidth="1"/>
    <col min="13" max="13" width="9.140625" style="25"/>
    <col min="14" max="16384" width="9.140625" style="28"/>
  </cols>
  <sheetData>
    <row r="1" spans="1:26" ht="30.75" customHeight="1" x14ac:dyDescent="0.25">
      <c r="A1" s="209" t="s">
        <v>13</v>
      </c>
      <c r="B1" s="209"/>
      <c r="C1" s="209"/>
      <c r="D1" s="209"/>
      <c r="E1" s="209"/>
      <c r="F1" s="209"/>
      <c r="G1" s="209"/>
      <c r="H1" s="209"/>
      <c r="I1" s="37"/>
      <c r="J1" s="61"/>
    </row>
    <row r="2" spans="1:26" ht="30.75" customHeight="1" x14ac:dyDescent="0.25">
      <c r="A2" s="29" t="s">
        <v>46</v>
      </c>
      <c r="B2" s="29" t="s">
        <v>47</v>
      </c>
      <c r="C2" s="29" t="s">
        <v>16</v>
      </c>
      <c r="D2" s="29" t="s">
        <v>48</v>
      </c>
      <c r="E2" s="29" t="s">
        <v>1</v>
      </c>
      <c r="F2" s="29" t="s">
        <v>49</v>
      </c>
      <c r="G2" s="29" t="s">
        <v>50</v>
      </c>
      <c r="H2" s="29" t="s">
        <v>51</v>
      </c>
      <c r="I2" s="29" t="s">
        <v>103</v>
      </c>
      <c r="J2" s="62" t="s">
        <v>53</v>
      </c>
      <c r="K2" s="63" t="s">
        <v>85</v>
      </c>
      <c r="L2" s="23" t="s">
        <v>68</v>
      </c>
      <c r="M2" s="24" t="s">
        <v>81</v>
      </c>
    </row>
    <row r="3" spans="1:26" ht="61.5" customHeight="1" x14ac:dyDescent="0.25">
      <c r="A3" s="30"/>
      <c r="B3" s="30"/>
      <c r="C3" s="31" t="s">
        <v>54</v>
      </c>
      <c r="D3" s="30"/>
      <c r="E3" s="31" t="s">
        <v>55</v>
      </c>
      <c r="F3" s="30"/>
      <c r="G3" s="30"/>
      <c r="H3" s="30"/>
      <c r="I3" s="30"/>
      <c r="J3" s="70" t="s">
        <v>52</v>
      </c>
      <c r="K3" s="60" t="s">
        <v>87</v>
      </c>
      <c r="L3" s="32" t="s">
        <v>67</v>
      </c>
      <c r="M3" s="25" t="s">
        <v>94</v>
      </c>
    </row>
    <row r="4" spans="1:26" ht="61.5" customHeight="1" x14ac:dyDescent="0.25">
      <c r="C4" s="30" t="s">
        <v>227</v>
      </c>
      <c r="J4" s="70" t="s">
        <v>58</v>
      </c>
      <c r="L4" s="32" t="s">
        <v>92</v>
      </c>
      <c r="M4" s="25" t="s">
        <v>82</v>
      </c>
    </row>
    <row r="5" spans="1:26" ht="61.5" customHeight="1" x14ac:dyDescent="0.25">
      <c r="C5" s="30" t="s">
        <v>95</v>
      </c>
      <c r="E5" s="31" t="s">
        <v>97</v>
      </c>
      <c r="F5" s="30" t="s">
        <v>86</v>
      </c>
      <c r="J5" s="70" t="s">
        <v>87</v>
      </c>
      <c r="L5" s="33" t="s">
        <v>93</v>
      </c>
      <c r="M5" s="25" t="s">
        <v>106</v>
      </c>
    </row>
    <row r="6" spans="1:26" ht="61.5" customHeight="1" x14ac:dyDescent="0.25">
      <c r="D6" s="31" t="s">
        <v>107</v>
      </c>
      <c r="J6" s="70" t="s">
        <v>99</v>
      </c>
      <c r="K6" s="60" t="s">
        <v>99</v>
      </c>
      <c r="L6" s="35" t="s">
        <v>102</v>
      </c>
      <c r="M6" s="25" t="s">
        <v>94</v>
      </c>
    </row>
    <row r="7" spans="1:26" ht="61.5" customHeight="1" x14ac:dyDescent="0.25">
      <c r="C7" s="31" t="s">
        <v>105</v>
      </c>
      <c r="D7" s="31" t="s">
        <v>108</v>
      </c>
      <c r="I7" s="31" t="s">
        <v>104</v>
      </c>
      <c r="J7" s="70" t="s">
        <v>109</v>
      </c>
      <c r="L7" s="35" t="s">
        <v>114</v>
      </c>
      <c r="M7" s="25" t="s">
        <v>94</v>
      </c>
    </row>
    <row r="8" spans="1:26" ht="61.5" customHeight="1" x14ac:dyDescent="0.25">
      <c r="C8" s="30" t="s">
        <v>128</v>
      </c>
      <c r="E8" s="30"/>
      <c r="J8" s="70" t="s">
        <v>125</v>
      </c>
      <c r="L8" s="35" t="s">
        <v>130</v>
      </c>
      <c r="M8" s="25" t="s">
        <v>106</v>
      </c>
    </row>
    <row r="9" spans="1:26" ht="61.5" customHeight="1" x14ac:dyDescent="0.25">
      <c r="C9" s="31" t="s">
        <v>137</v>
      </c>
      <c r="E9" s="31" t="s">
        <v>132</v>
      </c>
      <c r="J9" s="70" t="s">
        <v>131</v>
      </c>
      <c r="K9" s="60" t="s">
        <v>131</v>
      </c>
      <c r="L9" s="35" t="s">
        <v>136</v>
      </c>
      <c r="M9" s="25" t="s">
        <v>94</v>
      </c>
    </row>
    <row r="10" spans="1:26" s="57" customFormat="1" ht="61.5" customHeight="1" x14ac:dyDescent="0.25">
      <c r="A10" s="36"/>
      <c r="B10" s="36"/>
      <c r="C10" s="36"/>
      <c r="D10" s="36"/>
      <c r="E10" s="55" t="s">
        <v>147</v>
      </c>
      <c r="F10" s="36"/>
      <c r="G10" s="36"/>
      <c r="H10" s="36"/>
      <c r="I10" s="36"/>
      <c r="J10" s="70">
        <v>42529</v>
      </c>
      <c r="K10" s="60">
        <v>42529</v>
      </c>
      <c r="L10" s="35" t="s">
        <v>141</v>
      </c>
      <c r="M10" s="56" t="s">
        <v>94</v>
      </c>
      <c r="N10" s="28"/>
      <c r="O10" s="28"/>
      <c r="P10" s="28"/>
      <c r="Q10" s="28"/>
      <c r="R10" s="28"/>
      <c r="S10" s="28"/>
      <c r="T10" s="28"/>
      <c r="U10" s="28"/>
      <c r="V10" s="28"/>
      <c r="W10" s="28"/>
      <c r="X10" s="28"/>
      <c r="Y10" s="28"/>
      <c r="Z10" s="28"/>
    </row>
    <row r="11" spans="1:26" ht="61.5" customHeight="1" x14ac:dyDescent="0.25">
      <c r="E11" s="55" t="s">
        <v>148</v>
      </c>
      <c r="J11" s="70">
        <v>42621</v>
      </c>
      <c r="K11" s="60">
        <v>42712</v>
      </c>
      <c r="L11" s="35" t="s">
        <v>151</v>
      </c>
      <c r="M11" s="25" t="s">
        <v>94</v>
      </c>
    </row>
    <row r="12" spans="1:26" ht="61.5" customHeight="1" x14ac:dyDescent="0.25">
      <c r="B12" s="30" t="s">
        <v>164</v>
      </c>
      <c r="C12" s="55" t="s">
        <v>167</v>
      </c>
      <c r="E12" s="55" t="s">
        <v>163</v>
      </c>
      <c r="J12" s="70">
        <v>42651</v>
      </c>
      <c r="L12" s="35" t="s">
        <v>154</v>
      </c>
      <c r="M12" s="25" t="s">
        <v>106</v>
      </c>
    </row>
    <row r="13" spans="1:26" ht="77.25" customHeight="1" x14ac:dyDescent="0.25">
      <c r="C13" s="30" t="s">
        <v>182</v>
      </c>
      <c r="J13" s="70">
        <v>42712</v>
      </c>
      <c r="L13" s="35" t="s">
        <v>171</v>
      </c>
      <c r="M13" s="25" t="s">
        <v>106</v>
      </c>
    </row>
    <row r="14" spans="1:26" ht="77.25" customHeight="1" x14ac:dyDescent="0.25">
      <c r="B14" s="31" t="s">
        <v>218</v>
      </c>
      <c r="J14" s="70" t="s">
        <v>183</v>
      </c>
      <c r="K14" s="60" t="s">
        <v>193</v>
      </c>
      <c r="L14" s="35" t="s">
        <v>184</v>
      </c>
      <c r="M14" s="25" t="s">
        <v>94</v>
      </c>
    </row>
    <row r="15" spans="1:26" ht="77.25" customHeight="1" x14ac:dyDescent="0.25">
      <c r="B15" s="210" t="s">
        <v>196</v>
      </c>
      <c r="C15" s="210"/>
      <c r="E15" s="55" t="s">
        <v>197</v>
      </c>
      <c r="J15" s="70" t="s">
        <v>193</v>
      </c>
      <c r="L15" s="35" t="s">
        <v>195</v>
      </c>
      <c r="M15" s="25" t="s">
        <v>106</v>
      </c>
    </row>
    <row r="16" spans="1:26" ht="77.25" customHeight="1" x14ac:dyDescent="0.25">
      <c r="C16" s="30" t="s">
        <v>210</v>
      </c>
      <c r="J16" s="70" t="s">
        <v>209</v>
      </c>
      <c r="L16" s="35" t="s">
        <v>225</v>
      </c>
      <c r="M16" s="25" t="s">
        <v>106</v>
      </c>
    </row>
    <row r="17" spans="3:13" ht="77.25" customHeight="1" x14ac:dyDescent="0.25">
      <c r="C17" s="30" t="s">
        <v>229</v>
      </c>
      <c r="J17" s="70" t="s">
        <v>222</v>
      </c>
      <c r="L17" s="35" t="s">
        <v>224</v>
      </c>
      <c r="M17" s="25" t="s">
        <v>106</v>
      </c>
    </row>
    <row r="18" spans="3:13" ht="77.25" customHeight="1" x14ac:dyDescent="0.25">
      <c r="C18" s="55" t="s">
        <v>245</v>
      </c>
      <c r="E18" s="55" t="s">
        <v>238</v>
      </c>
      <c r="J18" s="70" t="s">
        <v>232</v>
      </c>
      <c r="L18" s="35" t="s">
        <v>233</v>
      </c>
      <c r="M18" s="25" t="s">
        <v>106</v>
      </c>
    </row>
    <row r="19" spans="3:13" ht="77.25" customHeight="1" x14ac:dyDescent="0.25">
      <c r="E19" s="30" t="s">
        <v>242</v>
      </c>
      <c r="J19" s="70" t="s">
        <v>239</v>
      </c>
      <c r="L19" s="35" t="s">
        <v>241</v>
      </c>
      <c r="M19" s="25" t="s">
        <v>82</v>
      </c>
    </row>
    <row r="20" spans="3:13" ht="77.25" customHeight="1" x14ac:dyDescent="0.25">
      <c r="C20" s="30"/>
      <c r="F20" s="75" t="s">
        <v>249</v>
      </c>
      <c r="J20" s="70" t="s">
        <v>246</v>
      </c>
      <c r="K20" s="60" t="s">
        <v>246</v>
      </c>
      <c r="L20" s="35" t="s">
        <v>247</v>
      </c>
      <c r="M20" s="25" t="s">
        <v>94</v>
      </c>
    </row>
    <row r="21" spans="3:13" ht="60" customHeight="1" x14ac:dyDescent="0.25">
      <c r="C21" s="77" t="s">
        <v>252</v>
      </c>
      <c r="J21" s="70" t="s">
        <v>251</v>
      </c>
      <c r="K21" s="60" t="s">
        <v>262</v>
      </c>
      <c r="L21" s="35" t="s">
        <v>265</v>
      </c>
      <c r="M21" s="25" t="s">
        <v>94</v>
      </c>
    </row>
    <row r="22" spans="3:13" ht="60" customHeight="1" x14ac:dyDescent="0.25">
      <c r="H22" s="77" t="s">
        <v>266</v>
      </c>
      <c r="J22" s="70" t="s">
        <v>262</v>
      </c>
      <c r="K22" s="60" t="s">
        <v>262</v>
      </c>
      <c r="L22" s="35" t="s">
        <v>264</v>
      </c>
      <c r="M22" s="25" t="s">
        <v>94</v>
      </c>
    </row>
    <row r="23" spans="3:13" ht="60" customHeight="1" x14ac:dyDescent="0.25">
      <c r="F23" s="78" t="s">
        <v>273</v>
      </c>
      <c r="J23" s="70" t="s">
        <v>269</v>
      </c>
      <c r="K23" s="60" t="s">
        <v>330</v>
      </c>
      <c r="L23" s="35" t="s">
        <v>272</v>
      </c>
      <c r="M23" s="25" t="s">
        <v>94</v>
      </c>
    </row>
    <row r="24" spans="3:13" ht="60" customHeight="1" x14ac:dyDescent="0.25">
      <c r="F24" s="30" t="s">
        <v>280</v>
      </c>
      <c r="J24" s="70" t="s">
        <v>276</v>
      </c>
      <c r="L24" s="35" t="s">
        <v>277</v>
      </c>
      <c r="M24" s="25" t="s">
        <v>106</v>
      </c>
    </row>
    <row r="25" spans="3:13" ht="60" customHeight="1" x14ac:dyDescent="0.25">
      <c r="E25" s="82" t="s">
        <v>288</v>
      </c>
      <c r="J25" s="70" t="s">
        <v>284</v>
      </c>
      <c r="K25" s="60" t="s">
        <v>284</v>
      </c>
      <c r="L25" s="35" t="s">
        <v>287</v>
      </c>
      <c r="M25" s="25" t="s">
        <v>94</v>
      </c>
    </row>
    <row r="26" spans="3:13" ht="60" customHeight="1" x14ac:dyDescent="0.25">
      <c r="F26" s="85" t="s">
        <v>303</v>
      </c>
      <c r="J26" s="70" t="s">
        <v>294</v>
      </c>
      <c r="K26" s="60" t="s">
        <v>330</v>
      </c>
      <c r="L26" s="35" t="s">
        <v>302</v>
      </c>
      <c r="M26" s="25" t="s">
        <v>94</v>
      </c>
    </row>
    <row r="27" spans="3:13" ht="54" customHeight="1" x14ac:dyDescent="0.25">
      <c r="F27" s="30" t="s">
        <v>315</v>
      </c>
      <c r="J27" s="70" t="s">
        <v>310</v>
      </c>
      <c r="L27" s="35" t="s">
        <v>314</v>
      </c>
      <c r="M27" s="25" t="s">
        <v>106</v>
      </c>
    </row>
    <row r="28" spans="3:13" ht="54" customHeight="1" x14ac:dyDescent="0.25">
      <c r="F28" s="30" t="s">
        <v>326</v>
      </c>
      <c r="J28" s="70" t="s">
        <v>321</v>
      </c>
      <c r="L28" s="35" t="s">
        <v>325</v>
      </c>
      <c r="M28" s="25" t="s">
        <v>82</v>
      </c>
    </row>
    <row r="29" spans="3:13" ht="54" customHeight="1" x14ac:dyDescent="0.25">
      <c r="F29" s="85" t="s">
        <v>334</v>
      </c>
      <c r="J29" s="70" t="s">
        <v>330</v>
      </c>
      <c r="K29" s="60" t="s">
        <v>330</v>
      </c>
      <c r="L29" s="35" t="s">
        <v>331</v>
      </c>
      <c r="M29" s="25" t="s">
        <v>94</v>
      </c>
    </row>
    <row r="30" spans="3:13" ht="62.25" customHeight="1" x14ac:dyDescent="0.25">
      <c r="F30" s="86" t="s">
        <v>337</v>
      </c>
      <c r="J30" s="70">
        <v>42378</v>
      </c>
      <c r="K30" s="60">
        <v>42438</v>
      </c>
      <c r="L30" s="35" t="s">
        <v>335</v>
      </c>
      <c r="M30" s="25" t="s">
        <v>94</v>
      </c>
    </row>
    <row r="31" spans="3:13" ht="62.25" customHeight="1" x14ac:dyDescent="0.25">
      <c r="C31" s="30" t="s">
        <v>348</v>
      </c>
      <c r="E31" s="211" t="s">
        <v>348</v>
      </c>
      <c r="F31" s="211"/>
      <c r="H31" s="30" t="s">
        <v>348</v>
      </c>
      <c r="J31" s="70">
        <v>42469</v>
      </c>
      <c r="L31" s="35" t="s">
        <v>347</v>
      </c>
      <c r="M31" s="25" t="s">
        <v>82</v>
      </c>
    </row>
    <row r="32" spans="3:13" ht="62.25" customHeight="1" x14ac:dyDescent="0.25">
      <c r="E32" s="88" t="s">
        <v>361</v>
      </c>
      <c r="J32" s="70">
        <v>42499</v>
      </c>
      <c r="K32" s="60">
        <v>42499</v>
      </c>
      <c r="L32" s="35" t="s">
        <v>360</v>
      </c>
      <c r="M32" s="25" t="s">
        <v>106</v>
      </c>
    </row>
    <row r="33" spans="2:13" ht="62.25" customHeight="1" x14ac:dyDescent="0.25">
      <c r="C33" s="90" t="s">
        <v>365</v>
      </c>
      <c r="E33" s="90" t="s">
        <v>366</v>
      </c>
      <c r="J33" s="70">
        <v>42530</v>
      </c>
      <c r="L33" s="35" t="s">
        <v>364</v>
      </c>
      <c r="M33" s="25" t="s">
        <v>82</v>
      </c>
    </row>
    <row r="34" spans="2:13" ht="62.25" customHeight="1" x14ac:dyDescent="0.25">
      <c r="I34" s="91" t="s">
        <v>374</v>
      </c>
      <c r="J34" s="70">
        <v>42591</v>
      </c>
      <c r="L34" s="35" t="s">
        <v>376</v>
      </c>
      <c r="M34" s="25" t="s">
        <v>106</v>
      </c>
    </row>
    <row r="35" spans="2:13" ht="62.25" customHeight="1" x14ac:dyDescent="0.25">
      <c r="B35" s="212" t="s">
        <v>383</v>
      </c>
      <c r="C35" s="212"/>
      <c r="I35" s="92" t="s">
        <v>387</v>
      </c>
      <c r="J35" s="70">
        <v>42622</v>
      </c>
      <c r="L35" s="35" t="s">
        <v>382</v>
      </c>
      <c r="M35" s="25" t="s">
        <v>106</v>
      </c>
    </row>
    <row r="36" spans="2:13" ht="62.25" customHeight="1" x14ac:dyDescent="0.25">
      <c r="C36" s="98" t="s">
        <v>405</v>
      </c>
      <c r="J36" s="70">
        <v>42652</v>
      </c>
      <c r="L36" s="35" t="s">
        <v>404</v>
      </c>
      <c r="M36" s="25" t="s">
        <v>82</v>
      </c>
    </row>
    <row r="37" spans="2:13" ht="62.25" customHeight="1" x14ac:dyDescent="0.25">
      <c r="B37" s="101" t="s">
        <v>412</v>
      </c>
      <c r="J37" s="70">
        <v>42683</v>
      </c>
      <c r="L37" s="35" t="s">
        <v>411</v>
      </c>
      <c r="M37" s="25" t="s">
        <v>82</v>
      </c>
    </row>
    <row r="38" spans="2:13" ht="45" customHeight="1" x14ac:dyDescent="0.25">
      <c r="C38" s="104" t="s">
        <v>425</v>
      </c>
      <c r="J38" s="70">
        <v>42713</v>
      </c>
      <c r="L38" s="35" t="s">
        <v>423</v>
      </c>
      <c r="M38" s="25" t="s">
        <v>82</v>
      </c>
    </row>
    <row r="39" spans="2:13" ht="45" customHeight="1" x14ac:dyDescent="0.25">
      <c r="C39" s="117" t="s">
        <v>431</v>
      </c>
      <c r="E39" s="117" t="s">
        <v>431</v>
      </c>
      <c r="F39" s="106"/>
      <c r="J39" s="70" t="s">
        <v>428</v>
      </c>
      <c r="L39" s="35" t="s">
        <v>430</v>
      </c>
      <c r="M39" s="25" t="s">
        <v>94</v>
      </c>
    </row>
    <row r="40" spans="2:13" ht="45" customHeight="1" x14ac:dyDescent="0.25">
      <c r="C40" s="109" t="s">
        <v>436</v>
      </c>
      <c r="J40" s="70" t="s">
        <v>433</v>
      </c>
      <c r="K40" s="60" t="s">
        <v>433</v>
      </c>
      <c r="L40" s="35" t="s">
        <v>435</v>
      </c>
      <c r="M40" s="25" t="s">
        <v>94</v>
      </c>
    </row>
    <row r="41" spans="2:13" ht="45" customHeight="1" x14ac:dyDescent="0.25">
      <c r="E41" s="114" t="s">
        <v>451</v>
      </c>
      <c r="I41" s="114" t="s">
        <v>450</v>
      </c>
      <c r="J41" s="70" t="s">
        <v>448</v>
      </c>
      <c r="L41" s="35" t="s">
        <v>247</v>
      </c>
    </row>
  </sheetData>
  <mergeCells count="4">
    <mergeCell ref="A1:H1"/>
    <mergeCell ref="B15:C15"/>
    <mergeCell ref="E31:F31"/>
    <mergeCell ref="B35:C35"/>
  </mergeCells>
  <conditionalFormatting sqref="M1:M9 M11:M1048576">
    <cfRule type="cellIs" dxfId="56" priority="5" operator="equal">
      <formula>"Some"</formula>
    </cfRule>
    <cfRule type="cellIs" dxfId="55" priority="6" operator="equal">
      <formula>"Some"</formula>
    </cfRule>
    <cfRule type="cellIs" dxfId="54" priority="7" operator="equal">
      <formula>"No"</formula>
    </cfRule>
    <cfRule type="cellIs" dxfId="53" priority="8" operator="equal">
      <formula>"Yes"</formula>
    </cfRule>
  </conditionalFormatting>
  <conditionalFormatting sqref="M10">
    <cfRule type="cellIs" dxfId="52" priority="1" operator="equal">
      <formula>"Some"</formula>
    </cfRule>
  </conditionalFormatting>
  <conditionalFormatting sqref="M10">
    <cfRule type="cellIs" dxfId="51" priority="2" operator="equal">
      <formula>"Some"</formula>
    </cfRule>
  </conditionalFormatting>
  <conditionalFormatting sqref="M10">
    <cfRule type="cellIs" dxfId="50" priority="3" operator="equal">
      <formula>"No"</formula>
    </cfRule>
  </conditionalFormatting>
  <conditionalFormatting sqref="M10">
    <cfRule type="cellIs" dxfId="49" priority="4" operator="equal">
      <formula>"Yes"</formula>
    </cfRule>
  </conditionalFormatting>
  <dataValidations count="3">
    <dataValidation type="list" allowBlank="1" showInputMessage="1" showErrorMessage="1" sqref="M1 M3:M9 M11:M1048576">
      <formula1>"Yes,No,Some"</formula1>
    </dataValidation>
    <dataValidation type="custom" showInputMessage="1" showErrorMessage="1" sqref="M2">
      <formula1>"Mark"</formula1>
    </dataValidation>
    <dataValidation type="list" allowBlank="1" showErrorMessage="1" sqref="M10">
      <formula1>"Yes,No,Some"</formula1>
    </dataValidation>
  </dataValidations>
  <hyperlinks>
    <hyperlink ref="L3" location="Checklist!A3" display="Checklist!A3"/>
    <hyperlink ref="L4" location="Checklist!A12" display="Checklist!A12"/>
    <hyperlink ref="L5" location="Checklist!A14" display="Checklist!A14"/>
    <hyperlink ref="L6" location="Checklist!A17" display="Checklist!A17"/>
    <hyperlink ref="L7" location="Checklist!A18" display="Checklist!A18"/>
    <hyperlink ref="L8" location="Checklist!A21" display="Checklist!A21"/>
    <hyperlink ref="L9" location="Checklist!A23" display="Checklist!A23"/>
    <hyperlink ref="L10" location="Checklist!A26" display="Checklist!A26"/>
    <hyperlink ref="L11" location="Checklist!A30" display="Checklist!A30"/>
    <hyperlink ref="L12" location="Checklist!A32" display="Checklist!A32"/>
    <hyperlink ref="L13" location="Checklist!A46" display="Checklist!A46"/>
    <hyperlink ref="L14" location="Checklist!A54" display="Checklist!A54"/>
    <hyperlink ref="L15" location="Checklist!A61" display="Checklist!A61"/>
    <hyperlink ref="L17" location="Checklist!A78" display="Checklist!A78"/>
    <hyperlink ref="L16" location="Checklist!A72" display="Checklist!A72"/>
    <hyperlink ref="L18" location="Checklist!A82" display="Checklist!A82"/>
    <hyperlink ref="L19" location="Checklist!A86" display="Checklist!A86"/>
    <hyperlink ref="L20" location="Checklist!A87" display="Checklist!A87"/>
    <hyperlink ref="F20" r:id="rId1"/>
    <hyperlink ref="L22" location="Checklist!A97" display="Checklist!A97"/>
    <hyperlink ref="L21" location="Checklist!A89" display="Checklist!A89"/>
    <hyperlink ref="L23" location="Checklist!A98" display="Checklist!A98"/>
    <hyperlink ref="L24" location="Checklist!A101" display="Checklist!A101"/>
    <hyperlink ref="L25" location="Checklist!A104" display="Checklist!A104"/>
    <hyperlink ref="L26" location="Checklist!A105" display="Checklist!A105"/>
    <hyperlink ref="L27" location="Checklist!A112" display="Checklist!A112"/>
    <hyperlink ref="L28" location="Checklist!A118" display="Checklist!A118"/>
    <hyperlink ref="L29" location="Checklist!A123" display="Checklist!A123"/>
    <hyperlink ref="L30" location="Checklist!A124" display="Checklist!A124"/>
    <hyperlink ref="L31" location="Checklist!A132" display="Checklist!A132"/>
    <hyperlink ref="L32" location="Checklist!A145" display="Checklist!A145"/>
    <hyperlink ref="L33" location="Checklist!A146" display="Checklist!A146"/>
    <hyperlink ref="L34" location="Checklist!A152" display="Checklist!A152"/>
    <hyperlink ref="L35" location="Checklist!A155" display="Checklist!A155"/>
    <hyperlink ref="L36" location="Checklist!A161" display="Checklist!A161"/>
    <hyperlink ref="L37" location="Checklist!A167" display="Checklist!A167"/>
    <hyperlink ref="L38" location="Checklist!A173" display="Checklist!A173"/>
    <hyperlink ref="L39" location="Checklist!A175" display="Checklist!A175"/>
    <hyperlink ref="L40" location="Checklist!A176" display="Checklist!A176"/>
    <hyperlink ref="L41" location="Checklist!A87" display="Checklist!A87"/>
  </hyperlinks>
  <pageMargins left="0.7" right="0.7" top="0.75" bottom="0.75" header="0.3" footer="0.3"/>
  <pageSetup paperSize="9" orientation="portrait" verticalDpi="30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F190"/>
  <sheetViews>
    <sheetView workbookViewId="0">
      <pane xSplit="1" ySplit="2" topLeftCell="B182" activePane="bottomRight" state="frozen"/>
      <selection pane="topRight" activeCell="B1" sqref="B1"/>
      <selection pane="bottomLeft" activeCell="A3" sqref="A3"/>
      <selection pane="bottomRight" activeCell="A87" sqref="A87"/>
    </sheetView>
  </sheetViews>
  <sheetFormatPr defaultRowHeight="15" x14ac:dyDescent="0.2"/>
  <cols>
    <col min="1" max="1" width="17.42578125" style="65" customWidth="1"/>
    <col min="2" max="2" width="17.42578125" style="67" customWidth="1"/>
    <col min="3" max="3" width="40.5703125" style="13" customWidth="1"/>
    <col min="4" max="4" width="17.42578125" style="27" customWidth="1"/>
    <col min="5" max="5" width="17.42578125" style="21" customWidth="1"/>
    <col min="6" max="6" width="17.42578125" style="69" customWidth="1"/>
    <col min="7" max="12" width="17.42578125" style="14" customWidth="1"/>
    <col min="13" max="16384" width="9.140625" style="14"/>
  </cols>
  <sheetData>
    <row r="2" spans="1:6" x14ac:dyDescent="0.2">
      <c r="A2" s="64" t="s">
        <v>83</v>
      </c>
      <c r="B2" s="64" t="s">
        <v>57</v>
      </c>
      <c r="C2" s="15" t="s">
        <v>56</v>
      </c>
      <c r="D2" s="26" t="s">
        <v>59</v>
      </c>
      <c r="E2" s="19" t="s">
        <v>69</v>
      </c>
      <c r="F2" s="68" t="s">
        <v>174</v>
      </c>
    </row>
    <row r="3" spans="1:6" ht="24" x14ac:dyDescent="0.2">
      <c r="A3" s="221" t="s">
        <v>52</v>
      </c>
      <c r="B3" s="220" t="s">
        <v>58</v>
      </c>
      <c r="C3" s="13" t="s">
        <v>74</v>
      </c>
      <c r="D3" s="27" t="s">
        <v>60</v>
      </c>
      <c r="E3" s="219" t="s">
        <v>70</v>
      </c>
    </row>
    <row r="4" spans="1:6" ht="12" customHeight="1" x14ac:dyDescent="0.2">
      <c r="A4" s="221"/>
      <c r="B4" s="220"/>
      <c r="C4" s="13" t="s">
        <v>61</v>
      </c>
      <c r="D4" s="27" t="s">
        <v>60</v>
      </c>
      <c r="E4" s="219"/>
    </row>
    <row r="5" spans="1:6" ht="12" customHeight="1" x14ac:dyDescent="0.2">
      <c r="A5" s="221"/>
      <c r="B5" s="220"/>
      <c r="C5" s="13" t="s">
        <v>62</v>
      </c>
      <c r="D5" s="27" t="s">
        <v>60</v>
      </c>
      <c r="E5" s="219"/>
    </row>
    <row r="6" spans="1:6" ht="12" customHeight="1" x14ac:dyDescent="0.2">
      <c r="A6" s="221"/>
      <c r="B6" s="220"/>
      <c r="C6" s="13" t="s">
        <v>63</v>
      </c>
      <c r="D6" s="27" t="s">
        <v>60</v>
      </c>
      <c r="E6" s="219"/>
    </row>
    <row r="7" spans="1:6" ht="12" customHeight="1" x14ac:dyDescent="0.2">
      <c r="A7" s="221"/>
      <c r="B7" s="220"/>
      <c r="C7" s="13" t="s">
        <v>71</v>
      </c>
      <c r="D7" s="27" t="s">
        <v>60</v>
      </c>
      <c r="E7" s="219"/>
    </row>
    <row r="8" spans="1:6" ht="12" customHeight="1" x14ac:dyDescent="0.2">
      <c r="A8" s="221"/>
      <c r="B8" s="220"/>
      <c r="C8" s="13" t="s">
        <v>66</v>
      </c>
      <c r="D8" s="27" t="s">
        <v>60</v>
      </c>
      <c r="E8" s="219"/>
    </row>
    <row r="9" spans="1:6" ht="12" customHeight="1" x14ac:dyDescent="0.2">
      <c r="A9" s="221"/>
      <c r="B9" s="220"/>
      <c r="C9" s="13" t="s">
        <v>65</v>
      </c>
      <c r="D9" s="27" t="s">
        <v>60</v>
      </c>
      <c r="E9" s="219"/>
    </row>
    <row r="10" spans="1:6" ht="15" customHeight="1" x14ac:dyDescent="0.2">
      <c r="A10" s="221"/>
      <c r="B10" s="220"/>
      <c r="C10" s="13" t="s">
        <v>72</v>
      </c>
      <c r="D10" s="27" t="s">
        <v>60</v>
      </c>
      <c r="E10" s="219"/>
    </row>
    <row r="11" spans="1:6" x14ac:dyDescent="0.2">
      <c r="A11" s="221"/>
      <c r="B11" s="66" t="s">
        <v>87</v>
      </c>
      <c r="C11" s="13" t="s">
        <v>73</v>
      </c>
      <c r="D11" s="27" t="s">
        <v>60</v>
      </c>
      <c r="E11" s="219"/>
    </row>
    <row r="12" spans="1:6" x14ac:dyDescent="0.2">
      <c r="A12" s="221" t="s">
        <v>58</v>
      </c>
      <c r="C12" s="13" t="s">
        <v>88</v>
      </c>
      <c r="D12" s="27" t="s">
        <v>64</v>
      </c>
      <c r="E12" s="219" t="s">
        <v>84</v>
      </c>
    </row>
    <row r="13" spans="1:6" ht="24" x14ac:dyDescent="0.2">
      <c r="A13" s="221"/>
      <c r="B13" s="67" t="s">
        <v>222</v>
      </c>
      <c r="C13" s="13" t="s">
        <v>89</v>
      </c>
      <c r="D13" s="27" t="s">
        <v>60</v>
      </c>
      <c r="E13" s="219"/>
    </row>
    <row r="14" spans="1:6" ht="24" x14ac:dyDescent="0.2">
      <c r="A14" s="221" t="s">
        <v>87</v>
      </c>
      <c r="B14" s="67">
        <v>42621</v>
      </c>
      <c r="C14" s="13" t="s">
        <v>124</v>
      </c>
      <c r="D14" s="27" t="s">
        <v>60</v>
      </c>
      <c r="E14" s="219" t="s">
        <v>90</v>
      </c>
    </row>
    <row r="15" spans="1:6" ht="24" x14ac:dyDescent="0.2">
      <c r="A15" s="221"/>
      <c r="C15" s="13" t="s">
        <v>91</v>
      </c>
      <c r="D15" s="27" t="s">
        <v>64</v>
      </c>
      <c r="E15" s="219"/>
    </row>
    <row r="16" spans="1:6" x14ac:dyDescent="0.2">
      <c r="A16" s="221"/>
      <c r="C16" s="13" t="s">
        <v>96</v>
      </c>
      <c r="D16" s="27" t="s">
        <v>64</v>
      </c>
      <c r="E16" s="219"/>
    </row>
    <row r="17" spans="1:5" ht="24" x14ac:dyDescent="0.2">
      <c r="A17" s="65" t="s">
        <v>99</v>
      </c>
      <c r="B17" s="67" t="s">
        <v>99</v>
      </c>
      <c r="C17" s="13" t="s">
        <v>100</v>
      </c>
      <c r="D17" s="27" t="s">
        <v>60</v>
      </c>
      <c r="E17" s="34" t="s">
        <v>101</v>
      </c>
    </row>
    <row r="18" spans="1:5" ht="24" x14ac:dyDescent="0.2">
      <c r="A18" s="222" t="s">
        <v>109</v>
      </c>
      <c r="B18" s="67">
        <v>42712</v>
      </c>
      <c r="C18" s="13" t="s">
        <v>110</v>
      </c>
      <c r="D18" s="27" t="s">
        <v>60</v>
      </c>
      <c r="E18" s="214" t="s">
        <v>113</v>
      </c>
    </row>
    <row r="19" spans="1:5" x14ac:dyDescent="0.2">
      <c r="A19" s="222"/>
      <c r="B19" s="67" t="s">
        <v>109</v>
      </c>
      <c r="C19" s="13" t="s">
        <v>111</v>
      </c>
      <c r="D19" s="27" t="s">
        <v>60</v>
      </c>
      <c r="E19" s="214"/>
    </row>
    <row r="20" spans="1:5" x14ac:dyDescent="0.2">
      <c r="A20" s="222"/>
      <c r="B20" s="67" t="s">
        <v>115</v>
      </c>
      <c r="C20" s="13" t="s">
        <v>112</v>
      </c>
      <c r="D20" s="27" t="s">
        <v>60</v>
      </c>
      <c r="E20" s="214"/>
    </row>
    <row r="21" spans="1:5" x14ac:dyDescent="0.2">
      <c r="A21" s="215" t="s">
        <v>125</v>
      </c>
      <c r="C21" s="13" t="s">
        <v>126</v>
      </c>
      <c r="D21" s="27" t="s">
        <v>64</v>
      </c>
      <c r="E21" s="214" t="s">
        <v>129</v>
      </c>
    </row>
    <row r="22" spans="1:5" x14ac:dyDescent="0.2">
      <c r="A22" s="215"/>
      <c r="C22" s="13" t="s">
        <v>127</v>
      </c>
      <c r="D22" s="27" t="s">
        <v>64</v>
      </c>
      <c r="E22" s="214"/>
    </row>
    <row r="23" spans="1:5" ht="15" customHeight="1" x14ac:dyDescent="0.2">
      <c r="A23" s="215" t="s">
        <v>131</v>
      </c>
      <c r="B23" s="213" t="s">
        <v>131</v>
      </c>
      <c r="C23" s="13" t="s">
        <v>133</v>
      </c>
      <c r="D23" s="27" t="s">
        <v>60</v>
      </c>
      <c r="E23" s="214" t="s">
        <v>135</v>
      </c>
    </row>
    <row r="24" spans="1:5" ht="15" customHeight="1" x14ac:dyDescent="0.2">
      <c r="A24" s="215"/>
      <c r="B24" s="213"/>
      <c r="C24" s="13" t="s">
        <v>134</v>
      </c>
      <c r="D24" s="27" t="s">
        <v>60</v>
      </c>
      <c r="E24" s="214"/>
    </row>
    <row r="25" spans="1:5" ht="15" customHeight="1" x14ac:dyDescent="0.2">
      <c r="A25" s="215"/>
      <c r="B25" s="213"/>
      <c r="C25" s="13" t="s">
        <v>138</v>
      </c>
      <c r="D25" s="27" t="s">
        <v>60</v>
      </c>
      <c r="E25" s="214"/>
    </row>
    <row r="26" spans="1:5" ht="12" customHeight="1" x14ac:dyDescent="0.2">
      <c r="A26" s="223">
        <v>42588</v>
      </c>
      <c r="B26" s="227">
        <v>42588</v>
      </c>
      <c r="C26" s="58" t="s">
        <v>142</v>
      </c>
      <c r="D26" s="59" t="s">
        <v>60</v>
      </c>
      <c r="E26" s="225" t="s">
        <v>143</v>
      </c>
    </row>
    <row r="27" spans="1:5" ht="12" customHeight="1" x14ac:dyDescent="0.2">
      <c r="A27" s="224"/>
      <c r="B27" s="227"/>
      <c r="C27" s="58" t="s">
        <v>144</v>
      </c>
      <c r="D27" s="59" t="s">
        <v>60</v>
      </c>
      <c r="E27" s="226"/>
    </row>
    <row r="28" spans="1:5" ht="15" customHeight="1" x14ac:dyDescent="0.2">
      <c r="A28" s="224"/>
      <c r="B28" s="227"/>
      <c r="C28" s="58" t="s">
        <v>145</v>
      </c>
      <c r="D28" s="59" t="s">
        <v>60</v>
      </c>
      <c r="E28" s="226"/>
    </row>
    <row r="29" spans="1:5" ht="15" customHeight="1" x14ac:dyDescent="0.2">
      <c r="A29" s="224"/>
      <c r="B29" s="227"/>
      <c r="C29" s="58" t="s">
        <v>146</v>
      </c>
      <c r="D29" s="59" t="s">
        <v>60</v>
      </c>
      <c r="E29" s="226"/>
    </row>
    <row r="30" spans="1:5" ht="24" x14ac:dyDescent="0.2">
      <c r="A30" s="215">
        <v>42621</v>
      </c>
      <c r="B30" s="67">
        <v>42712</v>
      </c>
      <c r="C30" s="13" t="s">
        <v>149</v>
      </c>
      <c r="D30" s="27" t="s">
        <v>60</v>
      </c>
      <c r="E30" s="214" t="s">
        <v>150</v>
      </c>
    </row>
    <row r="31" spans="1:5" ht="24" x14ac:dyDescent="0.2">
      <c r="A31" s="215"/>
      <c r="B31" s="67">
        <v>42712</v>
      </c>
      <c r="C31" s="13" t="s">
        <v>152</v>
      </c>
      <c r="D31" s="27" t="s">
        <v>60</v>
      </c>
      <c r="E31" s="214"/>
    </row>
    <row r="32" spans="1:5" ht="15" customHeight="1" x14ac:dyDescent="0.2">
      <c r="A32" s="215">
        <v>42651</v>
      </c>
      <c r="B32" s="213">
        <v>42651</v>
      </c>
      <c r="C32" s="13" t="s">
        <v>177</v>
      </c>
      <c r="D32" s="59" t="s">
        <v>60</v>
      </c>
      <c r="E32" s="218" t="s">
        <v>153</v>
      </c>
    </row>
    <row r="33" spans="1:6" ht="15" customHeight="1" x14ac:dyDescent="0.2">
      <c r="A33" s="215"/>
      <c r="B33" s="213"/>
      <c r="C33" s="13" t="s">
        <v>176</v>
      </c>
      <c r="D33" s="59" t="s">
        <v>60</v>
      </c>
      <c r="E33" s="218"/>
    </row>
    <row r="34" spans="1:6" ht="15" customHeight="1" x14ac:dyDescent="0.2">
      <c r="A34" s="215"/>
      <c r="B34" s="213"/>
      <c r="C34" s="13" t="s">
        <v>178</v>
      </c>
      <c r="D34" s="59" t="s">
        <v>60</v>
      </c>
      <c r="E34" s="218"/>
    </row>
    <row r="35" spans="1:6" ht="15" customHeight="1" x14ac:dyDescent="0.2">
      <c r="A35" s="215"/>
      <c r="B35" s="213"/>
      <c r="C35" s="13" t="s">
        <v>155</v>
      </c>
      <c r="D35" s="59" t="s">
        <v>60</v>
      </c>
      <c r="E35" s="218"/>
      <c r="F35" s="216" t="s">
        <v>175</v>
      </c>
    </row>
    <row r="36" spans="1:6" ht="20.25" customHeight="1" x14ac:dyDescent="0.2">
      <c r="A36" s="215"/>
      <c r="B36" s="213"/>
      <c r="C36" s="13" t="s">
        <v>156</v>
      </c>
      <c r="D36" s="59" t="s">
        <v>60</v>
      </c>
      <c r="E36" s="218"/>
      <c r="F36" s="217"/>
    </row>
    <row r="37" spans="1:6" ht="15" customHeight="1" x14ac:dyDescent="0.2">
      <c r="A37" s="215"/>
      <c r="B37" s="213"/>
      <c r="C37" s="13" t="s">
        <v>157</v>
      </c>
      <c r="D37" s="27" t="s">
        <v>60</v>
      </c>
      <c r="E37" s="218"/>
    </row>
    <row r="38" spans="1:6" ht="15" customHeight="1" x14ac:dyDescent="0.2">
      <c r="A38" s="215"/>
      <c r="B38" s="213"/>
      <c r="C38" s="13" t="s">
        <v>158</v>
      </c>
      <c r="D38" s="27" t="s">
        <v>60</v>
      </c>
      <c r="E38" s="218"/>
    </row>
    <row r="39" spans="1:6" x14ac:dyDescent="0.2">
      <c r="A39" s="215"/>
      <c r="C39" s="13" t="s">
        <v>162</v>
      </c>
      <c r="D39" s="27" t="s">
        <v>64</v>
      </c>
      <c r="E39" s="218"/>
    </row>
    <row r="40" spans="1:6" x14ac:dyDescent="0.2">
      <c r="A40" s="215"/>
      <c r="B40" s="67" t="s">
        <v>183</v>
      </c>
      <c r="C40" s="13" t="s">
        <v>161</v>
      </c>
      <c r="D40" s="27" t="s">
        <v>60</v>
      </c>
      <c r="E40" s="218"/>
    </row>
    <row r="41" spans="1:6" ht="15" customHeight="1" x14ac:dyDescent="0.2">
      <c r="A41" s="215"/>
      <c r="B41" s="213" t="s">
        <v>193</v>
      </c>
      <c r="C41" s="13" t="s">
        <v>159</v>
      </c>
      <c r="D41" s="27" t="s">
        <v>60</v>
      </c>
      <c r="E41" s="218"/>
    </row>
    <row r="42" spans="1:6" ht="15" customHeight="1" x14ac:dyDescent="0.2">
      <c r="A42" s="215"/>
      <c r="B42" s="213"/>
      <c r="C42" s="13" t="s">
        <v>160</v>
      </c>
      <c r="D42" s="27" t="s">
        <v>60</v>
      </c>
      <c r="E42" s="218"/>
    </row>
    <row r="43" spans="1:6" x14ac:dyDescent="0.2">
      <c r="A43" s="215"/>
      <c r="C43" s="13" t="s">
        <v>165</v>
      </c>
      <c r="D43" s="27" t="s">
        <v>120</v>
      </c>
      <c r="E43" s="218"/>
    </row>
    <row r="44" spans="1:6" x14ac:dyDescent="0.2">
      <c r="A44" s="215"/>
      <c r="C44" s="13" t="s">
        <v>166</v>
      </c>
      <c r="D44" s="27" t="s">
        <v>120</v>
      </c>
      <c r="E44" s="218"/>
    </row>
    <row r="45" spans="1:6" x14ac:dyDescent="0.2">
      <c r="A45" s="215"/>
      <c r="B45" s="67">
        <v>42712</v>
      </c>
      <c r="C45" s="13" t="s">
        <v>168</v>
      </c>
      <c r="D45" s="27" t="s">
        <v>60</v>
      </c>
      <c r="E45" s="218"/>
    </row>
    <row r="46" spans="1:6" x14ac:dyDescent="0.2">
      <c r="A46" s="215">
        <v>42712</v>
      </c>
      <c r="C46" s="13" t="s">
        <v>169</v>
      </c>
      <c r="D46" s="27" t="s">
        <v>120</v>
      </c>
      <c r="E46" s="214" t="s">
        <v>170</v>
      </c>
    </row>
    <row r="47" spans="1:6" x14ac:dyDescent="0.2">
      <c r="A47" s="215"/>
      <c r="C47" s="13" t="s">
        <v>172</v>
      </c>
      <c r="D47" s="27" t="s">
        <v>120</v>
      </c>
      <c r="E47" s="214"/>
    </row>
    <row r="48" spans="1:6" ht="24" x14ac:dyDescent="0.2">
      <c r="A48" s="215"/>
      <c r="B48" s="213">
        <v>42712</v>
      </c>
      <c r="C48" s="13" t="s">
        <v>173</v>
      </c>
      <c r="D48" s="27" t="s">
        <v>60</v>
      </c>
      <c r="E48" s="214"/>
    </row>
    <row r="49" spans="1:5" ht="15" customHeight="1" x14ac:dyDescent="0.2">
      <c r="A49" s="215"/>
      <c r="B49" s="213"/>
      <c r="C49" s="13" t="s">
        <v>179</v>
      </c>
      <c r="D49" s="27" t="s">
        <v>60</v>
      </c>
      <c r="E49" s="214"/>
    </row>
    <row r="50" spans="1:5" ht="15" customHeight="1" x14ac:dyDescent="0.2">
      <c r="A50" s="215"/>
      <c r="B50" s="213"/>
      <c r="C50" s="13" t="s">
        <v>180</v>
      </c>
      <c r="D50" s="27" t="s">
        <v>60</v>
      </c>
      <c r="E50" s="214"/>
    </row>
    <row r="51" spans="1:5" ht="15" customHeight="1" x14ac:dyDescent="0.2">
      <c r="A51" s="215"/>
      <c r="B51" s="213"/>
      <c r="C51" s="13" t="s">
        <v>179</v>
      </c>
      <c r="D51" s="27" t="s">
        <v>60</v>
      </c>
      <c r="E51" s="214"/>
    </row>
    <row r="52" spans="1:5" ht="15" customHeight="1" x14ac:dyDescent="0.2">
      <c r="A52" s="215"/>
      <c r="B52" s="213"/>
      <c r="C52" s="13" t="s">
        <v>180</v>
      </c>
      <c r="D52" s="27" t="s">
        <v>60</v>
      </c>
      <c r="E52" s="214"/>
    </row>
    <row r="53" spans="1:5" ht="15" customHeight="1" x14ac:dyDescent="0.2">
      <c r="A53" s="215"/>
      <c r="B53" s="213"/>
      <c r="C53" s="13" t="s">
        <v>181</v>
      </c>
      <c r="D53" s="27" t="s">
        <v>60</v>
      </c>
      <c r="E53" s="214"/>
    </row>
    <row r="54" spans="1:5" ht="24" x14ac:dyDescent="0.2">
      <c r="A54" s="215" t="s">
        <v>187</v>
      </c>
      <c r="B54" s="71" t="s">
        <v>183</v>
      </c>
      <c r="C54" s="13" t="s">
        <v>185</v>
      </c>
      <c r="D54" s="27" t="s">
        <v>60</v>
      </c>
      <c r="E54" s="214" t="s">
        <v>217</v>
      </c>
    </row>
    <row r="55" spans="1:5" ht="15" customHeight="1" x14ac:dyDescent="0.2">
      <c r="A55" s="215"/>
      <c r="B55" s="73" t="s">
        <v>209</v>
      </c>
      <c r="C55" s="13" t="s">
        <v>186</v>
      </c>
      <c r="D55" s="27" t="s">
        <v>60</v>
      </c>
      <c r="E55" s="214"/>
    </row>
    <row r="56" spans="1:5" ht="15" customHeight="1" x14ac:dyDescent="0.2">
      <c r="A56" s="215"/>
      <c r="B56" s="213" t="s">
        <v>183</v>
      </c>
      <c r="C56" s="13" t="s">
        <v>188</v>
      </c>
      <c r="D56" s="27" t="s">
        <v>60</v>
      </c>
      <c r="E56" s="214"/>
    </row>
    <row r="57" spans="1:5" ht="15" customHeight="1" x14ac:dyDescent="0.2">
      <c r="A57" s="215"/>
      <c r="B57" s="213"/>
      <c r="C57" s="13" t="s">
        <v>189</v>
      </c>
      <c r="D57" s="27" t="s">
        <v>60</v>
      </c>
      <c r="E57" s="214"/>
    </row>
    <row r="58" spans="1:5" ht="15" customHeight="1" x14ac:dyDescent="0.2">
      <c r="A58" s="215"/>
      <c r="B58" s="213"/>
      <c r="C58" s="13" t="s">
        <v>190</v>
      </c>
      <c r="D58" s="27" t="s">
        <v>60</v>
      </c>
      <c r="E58" s="214"/>
    </row>
    <row r="59" spans="1:5" ht="15" customHeight="1" x14ac:dyDescent="0.2">
      <c r="A59" s="215"/>
      <c r="B59" s="213"/>
      <c r="C59" s="13" t="s">
        <v>192</v>
      </c>
      <c r="D59" s="27" t="s">
        <v>60</v>
      </c>
      <c r="E59" s="214"/>
    </row>
    <row r="60" spans="1:5" ht="15" customHeight="1" x14ac:dyDescent="0.2">
      <c r="A60" s="215"/>
      <c r="B60" s="213"/>
      <c r="C60" s="13" t="s">
        <v>191</v>
      </c>
      <c r="D60" s="27" t="s">
        <v>60</v>
      </c>
      <c r="E60" s="214"/>
    </row>
    <row r="61" spans="1:5" ht="15" customHeight="1" x14ac:dyDescent="0.2">
      <c r="A61" s="215" t="s">
        <v>193</v>
      </c>
      <c r="B61" s="213" t="s">
        <v>193</v>
      </c>
      <c r="C61" s="13" t="s">
        <v>199</v>
      </c>
      <c r="D61" s="27" t="s">
        <v>60</v>
      </c>
      <c r="E61" s="214" t="s">
        <v>194</v>
      </c>
    </row>
    <row r="62" spans="1:5" ht="15" customHeight="1" x14ac:dyDescent="0.2">
      <c r="A62" s="215"/>
      <c r="B62" s="213"/>
      <c r="C62" s="13" t="s">
        <v>198</v>
      </c>
      <c r="D62" s="27" t="s">
        <v>60</v>
      </c>
      <c r="E62" s="214"/>
    </row>
    <row r="63" spans="1:5" ht="15" customHeight="1" x14ac:dyDescent="0.2">
      <c r="A63" s="215"/>
      <c r="B63" s="213"/>
      <c r="C63" s="13" t="s">
        <v>200</v>
      </c>
      <c r="D63" s="27" t="s">
        <v>60</v>
      </c>
      <c r="E63" s="214"/>
    </row>
    <row r="64" spans="1:5" x14ac:dyDescent="0.2">
      <c r="A64" s="215"/>
      <c r="B64" s="67" t="s">
        <v>232</v>
      </c>
      <c r="C64" s="13" t="s">
        <v>201</v>
      </c>
      <c r="D64" s="27" t="s">
        <v>60</v>
      </c>
      <c r="E64" s="214"/>
    </row>
    <row r="65" spans="1:5" ht="15" customHeight="1" x14ac:dyDescent="0.2">
      <c r="A65" s="215"/>
      <c r="B65" s="213" t="s">
        <v>193</v>
      </c>
      <c r="C65" s="13" t="s">
        <v>205</v>
      </c>
      <c r="D65" s="27" t="s">
        <v>60</v>
      </c>
      <c r="E65" s="214"/>
    </row>
    <row r="66" spans="1:5" ht="15" customHeight="1" x14ac:dyDescent="0.2">
      <c r="A66" s="215"/>
      <c r="B66" s="213"/>
      <c r="C66" s="13" t="s">
        <v>202</v>
      </c>
      <c r="D66" s="27" t="s">
        <v>60</v>
      </c>
      <c r="E66" s="214"/>
    </row>
    <row r="67" spans="1:5" x14ac:dyDescent="0.2">
      <c r="A67" s="215"/>
      <c r="B67" s="67" t="s">
        <v>232</v>
      </c>
      <c r="C67" s="13" t="s">
        <v>203</v>
      </c>
      <c r="D67" s="27" t="s">
        <v>60</v>
      </c>
      <c r="E67" s="214"/>
    </row>
    <row r="68" spans="1:5" x14ac:dyDescent="0.2">
      <c r="A68" s="215"/>
      <c r="B68" s="67" t="s">
        <v>193</v>
      </c>
      <c r="C68" s="13" t="s">
        <v>204</v>
      </c>
      <c r="D68" s="27" t="s">
        <v>60</v>
      </c>
      <c r="E68" s="214"/>
    </row>
    <row r="69" spans="1:5" ht="24" x14ac:dyDescent="0.2">
      <c r="A69" s="215"/>
      <c r="B69" s="67" t="s">
        <v>251</v>
      </c>
      <c r="C69" s="72" t="s">
        <v>206</v>
      </c>
      <c r="D69" s="27" t="s">
        <v>60</v>
      </c>
      <c r="E69" s="214"/>
    </row>
    <row r="70" spans="1:5" x14ac:dyDescent="0.2">
      <c r="A70" s="215"/>
      <c r="C70" s="13" t="s">
        <v>207</v>
      </c>
      <c r="D70" s="27" t="s">
        <v>122</v>
      </c>
      <c r="E70" s="214"/>
    </row>
    <row r="71" spans="1:5" ht="24" x14ac:dyDescent="0.2">
      <c r="A71" s="215"/>
      <c r="C71" s="13" t="s">
        <v>208</v>
      </c>
      <c r="D71" s="27" t="s">
        <v>64</v>
      </c>
      <c r="E71" s="214"/>
    </row>
    <row r="72" spans="1:5" ht="15" customHeight="1" x14ac:dyDescent="0.2">
      <c r="A72" s="215" t="s">
        <v>209</v>
      </c>
      <c r="B72" s="213" t="s">
        <v>222</v>
      </c>
      <c r="C72" s="13" t="s">
        <v>211</v>
      </c>
      <c r="D72" s="27" t="s">
        <v>60</v>
      </c>
      <c r="E72" s="214" t="s">
        <v>215</v>
      </c>
    </row>
    <row r="73" spans="1:5" ht="15" customHeight="1" x14ac:dyDescent="0.2">
      <c r="A73" s="215"/>
      <c r="B73" s="213"/>
      <c r="C73" s="13" t="s">
        <v>212</v>
      </c>
      <c r="D73" s="27" t="s">
        <v>60</v>
      </c>
      <c r="E73" s="214"/>
    </row>
    <row r="74" spans="1:5" ht="15" customHeight="1" x14ac:dyDescent="0.2">
      <c r="A74" s="215"/>
      <c r="B74" s="213"/>
      <c r="C74" s="13" t="s">
        <v>213</v>
      </c>
      <c r="D74" s="27" t="s">
        <v>60</v>
      </c>
      <c r="E74" s="214"/>
    </row>
    <row r="75" spans="1:5" x14ac:dyDescent="0.2">
      <c r="A75" s="215"/>
      <c r="B75" s="67" t="s">
        <v>231</v>
      </c>
      <c r="C75" s="13" t="s">
        <v>214</v>
      </c>
      <c r="D75" s="27" t="s">
        <v>60</v>
      </c>
      <c r="E75" s="214"/>
    </row>
    <row r="76" spans="1:5" x14ac:dyDescent="0.2">
      <c r="A76" s="215"/>
      <c r="C76" s="13" t="s">
        <v>216</v>
      </c>
      <c r="D76" s="27" t="s">
        <v>120</v>
      </c>
      <c r="E76" s="214"/>
    </row>
    <row r="77" spans="1:5" x14ac:dyDescent="0.2">
      <c r="A77" s="215"/>
      <c r="B77" s="67" t="s">
        <v>209</v>
      </c>
      <c r="C77" s="13" t="s">
        <v>220</v>
      </c>
      <c r="D77" s="27" t="s">
        <v>60</v>
      </c>
      <c r="E77" s="214"/>
    </row>
    <row r="78" spans="1:5" ht="24" x14ac:dyDescent="0.2">
      <c r="A78" s="215" t="s">
        <v>222</v>
      </c>
      <c r="B78" s="67" t="s">
        <v>222</v>
      </c>
      <c r="C78" s="13" t="s">
        <v>221</v>
      </c>
      <c r="D78" s="27" t="s">
        <v>60</v>
      </c>
      <c r="E78" s="214" t="s">
        <v>223</v>
      </c>
    </row>
    <row r="79" spans="1:5" x14ac:dyDescent="0.2">
      <c r="A79" s="215"/>
      <c r="C79" s="13" t="s">
        <v>226</v>
      </c>
      <c r="D79" s="27" t="s">
        <v>64</v>
      </c>
      <c r="E79" s="214"/>
    </row>
    <row r="80" spans="1:5" ht="24" x14ac:dyDescent="0.2">
      <c r="A80" s="215"/>
      <c r="B80" s="213" t="s">
        <v>222</v>
      </c>
      <c r="C80" s="13" t="s">
        <v>228</v>
      </c>
      <c r="D80" s="27" t="s">
        <v>60</v>
      </c>
      <c r="E80" s="214"/>
    </row>
    <row r="81" spans="1:5" ht="24" x14ac:dyDescent="0.2">
      <c r="A81" s="215"/>
      <c r="B81" s="213"/>
      <c r="C81" s="13" t="s">
        <v>230</v>
      </c>
      <c r="D81" s="27" t="s">
        <v>60</v>
      </c>
      <c r="E81" s="214"/>
    </row>
    <row r="82" spans="1:5" ht="24" x14ac:dyDescent="0.2">
      <c r="A82" s="215" t="s">
        <v>232</v>
      </c>
      <c r="B82" s="213" t="s">
        <v>239</v>
      </c>
      <c r="C82" s="13" t="s">
        <v>235</v>
      </c>
      <c r="D82" s="27" t="s">
        <v>60</v>
      </c>
      <c r="E82" s="214" t="s">
        <v>234</v>
      </c>
    </row>
    <row r="83" spans="1:5" ht="24" x14ac:dyDescent="0.2">
      <c r="A83" s="215"/>
      <c r="B83" s="213"/>
      <c r="C83" s="13" t="s">
        <v>236</v>
      </c>
      <c r="D83" s="27" t="s">
        <v>60</v>
      </c>
      <c r="E83" s="214"/>
    </row>
    <row r="84" spans="1:5" ht="24" x14ac:dyDescent="0.2">
      <c r="A84" s="215"/>
      <c r="B84" s="67" t="s">
        <v>244</v>
      </c>
      <c r="C84" s="13" t="s">
        <v>237</v>
      </c>
      <c r="D84" s="27" t="s">
        <v>60</v>
      </c>
      <c r="E84" s="214"/>
    </row>
    <row r="85" spans="1:5" ht="24" x14ac:dyDescent="0.2">
      <c r="A85" s="215"/>
      <c r="C85" s="72" t="s">
        <v>268</v>
      </c>
      <c r="D85" s="27" t="s">
        <v>64</v>
      </c>
      <c r="E85" s="214"/>
    </row>
    <row r="86" spans="1:5" x14ac:dyDescent="0.2">
      <c r="A86" s="65" t="s">
        <v>239</v>
      </c>
      <c r="C86" s="13" t="s">
        <v>243</v>
      </c>
      <c r="D86" s="27" t="s">
        <v>64</v>
      </c>
      <c r="E86" s="74" t="s">
        <v>240</v>
      </c>
    </row>
    <row r="87" spans="1:5" x14ac:dyDescent="0.2">
      <c r="A87" s="80" t="s">
        <v>246</v>
      </c>
      <c r="B87" s="67" t="s">
        <v>246</v>
      </c>
      <c r="C87" s="13" t="s">
        <v>250</v>
      </c>
      <c r="D87" s="27" t="s">
        <v>60</v>
      </c>
      <c r="E87" s="79" t="s">
        <v>248</v>
      </c>
    </row>
    <row r="88" spans="1:5" ht="15" customHeight="1" x14ac:dyDescent="0.2">
      <c r="A88" s="215" t="s">
        <v>251</v>
      </c>
      <c r="B88" s="213" t="s">
        <v>251</v>
      </c>
      <c r="C88" s="13" t="s">
        <v>253</v>
      </c>
      <c r="D88" s="27" t="s">
        <v>60</v>
      </c>
      <c r="E88" s="214" t="s">
        <v>254</v>
      </c>
    </row>
    <row r="89" spans="1:5" ht="15" customHeight="1" x14ac:dyDescent="0.2">
      <c r="A89" s="215"/>
      <c r="B89" s="213"/>
      <c r="C89" s="13" t="s">
        <v>255</v>
      </c>
      <c r="D89" s="27" t="s">
        <v>60</v>
      </c>
      <c r="E89" s="214"/>
    </row>
    <row r="90" spans="1:5" ht="24" x14ac:dyDescent="0.2">
      <c r="A90" s="215"/>
      <c r="B90" s="213"/>
      <c r="C90" s="13" t="s">
        <v>258</v>
      </c>
      <c r="D90" s="27" t="s">
        <v>60</v>
      </c>
      <c r="E90" s="214"/>
    </row>
    <row r="91" spans="1:5" ht="15" customHeight="1" x14ac:dyDescent="0.2">
      <c r="A91" s="215"/>
      <c r="B91" s="213"/>
      <c r="C91" s="13" t="s">
        <v>257</v>
      </c>
      <c r="D91" s="27" t="s">
        <v>60</v>
      </c>
      <c r="E91" s="214"/>
    </row>
    <row r="92" spans="1:5" ht="24" x14ac:dyDescent="0.2">
      <c r="A92" s="215"/>
      <c r="B92" s="67" t="s">
        <v>262</v>
      </c>
      <c r="C92" s="13" t="s">
        <v>256</v>
      </c>
      <c r="D92" s="27" t="s">
        <v>60</v>
      </c>
      <c r="E92" s="214"/>
    </row>
    <row r="93" spans="1:5" ht="24" x14ac:dyDescent="0.2">
      <c r="A93" s="215"/>
      <c r="B93" s="213" t="s">
        <v>251</v>
      </c>
      <c r="C93" s="13" t="s">
        <v>259</v>
      </c>
      <c r="D93" s="27" t="s">
        <v>60</v>
      </c>
      <c r="E93" s="214"/>
    </row>
    <row r="94" spans="1:5" ht="24" x14ac:dyDescent="0.2">
      <c r="A94" s="215"/>
      <c r="B94" s="213"/>
      <c r="C94" s="13" t="s">
        <v>260</v>
      </c>
      <c r="D94" s="27" t="s">
        <v>60</v>
      </c>
      <c r="E94" s="214"/>
    </row>
    <row r="95" spans="1:5" ht="15" customHeight="1" x14ac:dyDescent="0.2">
      <c r="A95" s="215"/>
      <c r="B95" s="213"/>
      <c r="C95" s="13" t="s">
        <v>261</v>
      </c>
      <c r="D95" s="27" t="s">
        <v>60</v>
      </c>
      <c r="E95" s="214"/>
    </row>
    <row r="96" spans="1:5" x14ac:dyDescent="0.2">
      <c r="A96" s="65" t="s">
        <v>262</v>
      </c>
      <c r="B96" s="67" t="s">
        <v>262</v>
      </c>
      <c r="C96" s="13" t="s">
        <v>267</v>
      </c>
      <c r="D96" s="27" t="s">
        <v>60</v>
      </c>
      <c r="E96" s="76" t="s">
        <v>263</v>
      </c>
    </row>
    <row r="97" spans="1:5" ht="24" x14ac:dyDescent="0.2">
      <c r="A97" s="215" t="s">
        <v>269</v>
      </c>
      <c r="B97" s="213" t="s">
        <v>269</v>
      </c>
      <c r="C97" s="13" t="s">
        <v>270</v>
      </c>
      <c r="D97" s="27" t="s">
        <v>60</v>
      </c>
      <c r="E97" s="214" t="s">
        <v>271</v>
      </c>
    </row>
    <row r="98" spans="1:5" ht="15" customHeight="1" x14ac:dyDescent="0.2">
      <c r="A98" s="215"/>
      <c r="B98" s="213"/>
      <c r="C98" s="13" t="s">
        <v>274</v>
      </c>
      <c r="D98" s="27" t="s">
        <v>60</v>
      </c>
      <c r="E98" s="214"/>
    </row>
    <row r="99" spans="1:5" ht="24" x14ac:dyDescent="0.2">
      <c r="A99" s="215"/>
      <c r="B99" s="67" t="s">
        <v>330</v>
      </c>
      <c r="C99" s="13" t="s">
        <v>275</v>
      </c>
      <c r="D99" s="27" t="s">
        <v>60</v>
      </c>
      <c r="E99" s="214"/>
    </row>
    <row r="100" spans="1:5" x14ac:dyDescent="0.2">
      <c r="A100" s="215" t="s">
        <v>276</v>
      </c>
      <c r="B100" s="67" t="s">
        <v>276</v>
      </c>
      <c r="C100" s="13" t="s">
        <v>278</v>
      </c>
      <c r="D100" s="27" t="s">
        <v>60</v>
      </c>
      <c r="E100" s="214" t="s">
        <v>279</v>
      </c>
    </row>
    <row r="101" spans="1:5" x14ac:dyDescent="0.2">
      <c r="A101" s="215"/>
      <c r="B101" s="67" t="s">
        <v>330</v>
      </c>
      <c r="C101" s="13" t="s">
        <v>281</v>
      </c>
      <c r="D101" s="27" t="s">
        <v>60</v>
      </c>
      <c r="E101" s="214"/>
    </row>
    <row r="102" spans="1:5" x14ac:dyDescent="0.2">
      <c r="A102" s="215"/>
      <c r="C102" s="13" t="s">
        <v>282</v>
      </c>
      <c r="D102" s="27" t="s">
        <v>64</v>
      </c>
      <c r="E102" s="214"/>
    </row>
    <row r="103" spans="1:5" x14ac:dyDescent="0.2">
      <c r="A103" s="215"/>
      <c r="B103" s="67" t="s">
        <v>310</v>
      </c>
      <c r="C103" s="13" t="s">
        <v>283</v>
      </c>
      <c r="D103" s="27" t="s">
        <v>60</v>
      </c>
      <c r="E103" s="214"/>
    </row>
    <row r="104" spans="1:5" x14ac:dyDescent="0.2">
      <c r="A104" s="65" t="s">
        <v>284</v>
      </c>
      <c r="B104" s="67" t="s">
        <v>284</v>
      </c>
      <c r="C104" s="13" t="s">
        <v>285</v>
      </c>
      <c r="D104" s="27" t="s">
        <v>60</v>
      </c>
      <c r="E104" s="81" t="s">
        <v>286</v>
      </c>
    </row>
    <row r="105" spans="1:5" ht="15" customHeight="1" x14ac:dyDescent="0.2">
      <c r="A105" s="215" t="s">
        <v>294</v>
      </c>
      <c r="B105" s="213" t="s">
        <v>310</v>
      </c>
      <c r="C105" s="13" t="s">
        <v>309</v>
      </c>
      <c r="D105" s="27" t="s">
        <v>60</v>
      </c>
      <c r="E105" s="214" t="s">
        <v>295</v>
      </c>
    </row>
    <row r="106" spans="1:5" ht="15" customHeight="1" x14ac:dyDescent="0.2">
      <c r="A106" s="215"/>
      <c r="B106" s="213"/>
      <c r="C106" s="13" t="s">
        <v>296</v>
      </c>
      <c r="D106" s="27" t="s">
        <v>60</v>
      </c>
      <c r="E106" s="214"/>
    </row>
    <row r="107" spans="1:5" x14ac:dyDescent="0.2">
      <c r="A107" s="215"/>
      <c r="B107" s="67" t="s">
        <v>330</v>
      </c>
      <c r="C107" s="13" t="s">
        <v>297</v>
      </c>
      <c r="D107" s="27" t="s">
        <v>60</v>
      </c>
      <c r="E107" s="214"/>
    </row>
    <row r="108" spans="1:5" ht="15" customHeight="1" x14ac:dyDescent="0.2">
      <c r="A108" s="215"/>
      <c r="B108" s="213" t="s">
        <v>310</v>
      </c>
      <c r="C108" s="13" t="s">
        <v>298</v>
      </c>
      <c r="D108" s="27" t="s">
        <v>60</v>
      </c>
      <c r="E108" s="214"/>
    </row>
    <row r="109" spans="1:5" ht="15" customHeight="1" x14ac:dyDescent="0.2">
      <c r="A109" s="215"/>
      <c r="B109" s="213"/>
      <c r="C109" s="13" t="s">
        <v>300</v>
      </c>
      <c r="D109" s="27" t="s">
        <v>60</v>
      </c>
      <c r="E109" s="214"/>
    </row>
    <row r="110" spans="1:5" x14ac:dyDescent="0.2">
      <c r="A110" s="215"/>
      <c r="B110" s="67" t="s">
        <v>330</v>
      </c>
      <c r="C110" s="13" t="s">
        <v>301</v>
      </c>
      <c r="D110" s="27" t="s">
        <v>60</v>
      </c>
      <c r="E110" s="214"/>
    </row>
    <row r="111" spans="1:5" ht="15" customHeight="1" x14ac:dyDescent="0.2">
      <c r="A111" s="215"/>
      <c r="B111" s="213" t="s">
        <v>310</v>
      </c>
      <c r="C111" s="13" t="s">
        <v>299</v>
      </c>
      <c r="D111" s="27" t="s">
        <v>60</v>
      </c>
      <c r="E111" s="214"/>
    </row>
    <row r="112" spans="1:5" ht="15" customHeight="1" x14ac:dyDescent="0.2">
      <c r="A112" s="215" t="s">
        <v>310</v>
      </c>
      <c r="B112" s="213"/>
      <c r="C112" s="13" t="s">
        <v>311</v>
      </c>
      <c r="D112" s="27" t="s">
        <v>60</v>
      </c>
      <c r="E112" s="214" t="s">
        <v>313</v>
      </c>
    </row>
    <row r="113" spans="1:5" ht="15" customHeight="1" x14ac:dyDescent="0.2">
      <c r="A113" s="215"/>
      <c r="B113" s="213"/>
      <c r="C113" s="13" t="s">
        <v>312</v>
      </c>
      <c r="D113" s="27" t="s">
        <v>60</v>
      </c>
      <c r="E113" s="214"/>
    </row>
    <row r="114" spans="1:5" ht="15" customHeight="1" x14ac:dyDescent="0.2">
      <c r="A114" s="215"/>
      <c r="B114" s="213"/>
      <c r="C114" s="13" t="s">
        <v>316</v>
      </c>
      <c r="D114" s="27" t="s">
        <v>60</v>
      </c>
      <c r="E114" s="214"/>
    </row>
    <row r="115" spans="1:5" ht="15" customHeight="1" x14ac:dyDescent="0.2">
      <c r="A115" s="215"/>
      <c r="B115" s="213"/>
      <c r="C115" s="13" t="s">
        <v>317</v>
      </c>
      <c r="D115" s="27" t="s">
        <v>60</v>
      </c>
      <c r="E115" s="214"/>
    </row>
    <row r="116" spans="1:5" ht="15" customHeight="1" x14ac:dyDescent="0.2">
      <c r="A116" s="215"/>
      <c r="B116" s="213"/>
      <c r="C116" s="13" t="s">
        <v>318</v>
      </c>
      <c r="D116" s="27" t="s">
        <v>60</v>
      </c>
      <c r="E116" s="214"/>
    </row>
    <row r="117" spans="1:5" ht="24" x14ac:dyDescent="0.2">
      <c r="A117" s="215"/>
      <c r="C117" s="13" t="s">
        <v>319</v>
      </c>
      <c r="D117" s="27" t="s">
        <v>64</v>
      </c>
      <c r="E117" s="214"/>
    </row>
    <row r="118" spans="1:5" x14ac:dyDescent="0.2">
      <c r="A118" s="215" t="s">
        <v>321</v>
      </c>
      <c r="C118" s="13" t="s">
        <v>322</v>
      </c>
      <c r="D118" s="27" t="s">
        <v>122</v>
      </c>
      <c r="E118" s="214" t="s">
        <v>324</v>
      </c>
    </row>
    <row r="119" spans="1:5" x14ac:dyDescent="0.2">
      <c r="A119" s="215"/>
      <c r="C119" s="13" t="s">
        <v>323</v>
      </c>
      <c r="D119" s="27" t="s">
        <v>122</v>
      </c>
      <c r="E119" s="214"/>
    </row>
    <row r="120" spans="1:5" x14ac:dyDescent="0.2">
      <c r="A120" s="215"/>
      <c r="B120" s="67" t="s">
        <v>321</v>
      </c>
      <c r="C120" s="13" t="s">
        <v>327</v>
      </c>
      <c r="D120" s="27" t="s">
        <v>60</v>
      </c>
      <c r="E120" s="214"/>
    </row>
    <row r="121" spans="1:5" ht="24" x14ac:dyDescent="0.2">
      <c r="A121" s="215"/>
      <c r="B121" s="67" t="s">
        <v>330</v>
      </c>
      <c r="C121" s="13" t="s">
        <v>328</v>
      </c>
      <c r="D121" s="27" t="s">
        <v>60</v>
      </c>
      <c r="E121" s="214"/>
    </row>
    <row r="122" spans="1:5" ht="24" x14ac:dyDescent="0.2">
      <c r="A122" s="215"/>
      <c r="B122" s="67" t="s">
        <v>321</v>
      </c>
      <c r="C122" s="13" t="s">
        <v>329</v>
      </c>
      <c r="D122" s="27" t="s">
        <v>60</v>
      </c>
      <c r="E122" s="214"/>
    </row>
    <row r="123" spans="1:5" ht="24" x14ac:dyDescent="0.2">
      <c r="A123" s="65" t="s">
        <v>330</v>
      </c>
      <c r="B123" s="67" t="s">
        <v>330</v>
      </c>
      <c r="C123" s="13" t="s">
        <v>333</v>
      </c>
      <c r="D123" s="27" t="s">
        <v>60</v>
      </c>
      <c r="E123" s="84" t="s">
        <v>332</v>
      </c>
    </row>
    <row r="124" spans="1:5" ht="15" customHeight="1" x14ac:dyDescent="0.2">
      <c r="A124" s="215">
        <v>42378</v>
      </c>
      <c r="B124" s="213">
        <v>42378</v>
      </c>
      <c r="C124" s="13" t="s">
        <v>338</v>
      </c>
      <c r="D124" s="27" t="s">
        <v>60</v>
      </c>
      <c r="E124" s="214" t="s">
        <v>336</v>
      </c>
    </row>
    <row r="125" spans="1:5" ht="15" customHeight="1" x14ac:dyDescent="0.2">
      <c r="A125" s="215"/>
      <c r="B125" s="213"/>
      <c r="C125" s="13" t="s">
        <v>339</v>
      </c>
      <c r="D125" s="27" t="s">
        <v>60</v>
      </c>
      <c r="E125" s="214"/>
    </row>
    <row r="126" spans="1:5" ht="24" x14ac:dyDescent="0.2">
      <c r="A126" s="215"/>
      <c r="B126" s="213"/>
      <c r="C126" s="13" t="s">
        <v>340</v>
      </c>
      <c r="D126" s="27" t="s">
        <v>60</v>
      </c>
      <c r="E126" s="214"/>
    </row>
    <row r="127" spans="1:5" ht="24" x14ac:dyDescent="0.2">
      <c r="A127" s="215"/>
      <c r="B127" s="213"/>
      <c r="C127" s="13" t="s">
        <v>341</v>
      </c>
      <c r="D127" s="27" t="s">
        <v>60</v>
      </c>
      <c r="E127" s="214"/>
    </row>
    <row r="128" spans="1:5" ht="21" customHeight="1" x14ac:dyDescent="0.2">
      <c r="A128" s="215"/>
      <c r="B128" s="213">
        <v>42438</v>
      </c>
      <c r="C128" s="13" t="s">
        <v>342</v>
      </c>
      <c r="D128" s="27" t="s">
        <v>60</v>
      </c>
      <c r="E128" s="214"/>
    </row>
    <row r="129" spans="1:5" ht="21" customHeight="1" x14ac:dyDescent="0.2">
      <c r="A129" s="215"/>
      <c r="B129" s="213"/>
      <c r="C129" s="13" t="s">
        <v>343</v>
      </c>
      <c r="D129" s="27" t="s">
        <v>60</v>
      </c>
      <c r="E129" s="214"/>
    </row>
    <row r="130" spans="1:5" ht="21" customHeight="1" x14ac:dyDescent="0.2">
      <c r="A130" s="215"/>
      <c r="B130" s="213"/>
      <c r="C130" s="13" t="s">
        <v>344</v>
      </c>
      <c r="D130" s="27" t="s">
        <v>60</v>
      </c>
      <c r="E130" s="214"/>
    </row>
    <row r="131" spans="1:5" ht="21" customHeight="1" x14ac:dyDescent="0.2">
      <c r="A131" s="215"/>
      <c r="B131" s="213"/>
      <c r="C131" s="13" t="s">
        <v>345</v>
      </c>
      <c r="D131" s="27" t="s">
        <v>60</v>
      </c>
      <c r="E131" s="214"/>
    </row>
    <row r="132" spans="1:5" ht="15" customHeight="1" x14ac:dyDescent="0.2">
      <c r="A132" s="215">
        <v>42469</v>
      </c>
      <c r="B132" s="213">
        <v>42469</v>
      </c>
      <c r="C132" s="13" t="s">
        <v>349</v>
      </c>
      <c r="D132" s="27" t="s">
        <v>60</v>
      </c>
      <c r="E132" s="214" t="s">
        <v>346</v>
      </c>
    </row>
    <row r="133" spans="1:5" ht="15" customHeight="1" x14ac:dyDescent="0.2">
      <c r="A133" s="215"/>
      <c r="B133" s="213"/>
      <c r="C133" s="13" t="s">
        <v>350</v>
      </c>
      <c r="D133" s="27" t="s">
        <v>60</v>
      </c>
      <c r="E133" s="214"/>
    </row>
    <row r="134" spans="1:5" ht="15" customHeight="1" x14ac:dyDescent="0.2">
      <c r="A134" s="215"/>
      <c r="B134" s="213"/>
      <c r="C134" s="13" t="s">
        <v>356</v>
      </c>
      <c r="D134" s="27" t="s">
        <v>60</v>
      </c>
      <c r="E134" s="214"/>
    </row>
    <row r="135" spans="1:5" ht="15" customHeight="1" x14ac:dyDescent="0.2">
      <c r="A135" s="215"/>
      <c r="B135" s="213"/>
      <c r="C135" s="13" t="s">
        <v>351</v>
      </c>
      <c r="D135" s="27" t="s">
        <v>60</v>
      </c>
      <c r="E135" s="214"/>
    </row>
    <row r="136" spans="1:5" ht="15" customHeight="1" x14ac:dyDescent="0.2">
      <c r="A136" s="215"/>
      <c r="B136" s="213"/>
      <c r="C136" s="13" t="s">
        <v>352</v>
      </c>
      <c r="D136" s="27" t="s">
        <v>60</v>
      </c>
      <c r="E136" s="214"/>
    </row>
    <row r="137" spans="1:5" ht="15" customHeight="1" x14ac:dyDescent="0.2">
      <c r="A137" s="215"/>
      <c r="B137" s="213"/>
      <c r="C137" s="13" t="s">
        <v>353</v>
      </c>
      <c r="D137" s="27" t="s">
        <v>60</v>
      </c>
      <c r="E137" s="214"/>
    </row>
    <row r="138" spans="1:5" ht="15" customHeight="1" x14ac:dyDescent="0.2">
      <c r="A138" s="215"/>
      <c r="B138" s="213"/>
      <c r="C138" s="13" t="s">
        <v>354</v>
      </c>
      <c r="D138" s="27" t="s">
        <v>60</v>
      </c>
      <c r="E138" s="214"/>
    </row>
    <row r="139" spans="1:5" ht="36" x14ac:dyDescent="0.2">
      <c r="A139" s="215"/>
      <c r="B139" s="67">
        <v>42499</v>
      </c>
      <c r="C139" s="13" t="s">
        <v>355</v>
      </c>
      <c r="D139" s="27" t="s">
        <v>60</v>
      </c>
      <c r="E139" s="214"/>
    </row>
    <row r="140" spans="1:5" ht="24" x14ac:dyDescent="0.2">
      <c r="A140" s="215"/>
      <c r="C140" s="13" t="s">
        <v>427</v>
      </c>
      <c r="D140" s="27" t="s">
        <v>64</v>
      </c>
      <c r="E140" s="214"/>
    </row>
    <row r="141" spans="1:5" ht="24" x14ac:dyDescent="0.2">
      <c r="A141" s="215"/>
      <c r="C141" s="13" t="s">
        <v>426</v>
      </c>
      <c r="D141" s="27" t="s">
        <v>64</v>
      </c>
      <c r="E141" s="214"/>
    </row>
    <row r="142" spans="1:5" ht="36" x14ac:dyDescent="0.2">
      <c r="A142" s="215"/>
      <c r="C142" s="13" t="s">
        <v>358</v>
      </c>
      <c r="D142" s="27" t="s">
        <v>64</v>
      </c>
      <c r="E142" s="214"/>
    </row>
    <row r="143" spans="1:5" x14ac:dyDescent="0.2">
      <c r="A143" s="215"/>
      <c r="C143" s="72" t="s">
        <v>357</v>
      </c>
      <c r="D143" s="27" t="s">
        <v>64</v>
      </c>
      <c r="E143" s="214"/>
    </row>
    <row r="144" spans="1:5" ht="24" x14ac:dyDescent="0.2">
      <c r="A144" s="65">
        <v>42499</v>
      </c>
      <c r="B144" s="67">
        <v>42499</v>
      </c>
      <c r="C144" s="13" t="s">
        <v>362</v>
      </c>
      <c r="D144" s="27" t="s">
        <v>60</v>
      </c>
      <c r="E144" s="87" t="s">
        <v>359</v>
      </c>
    </row>
    <row r="145" spans="1:6" ht="16.5" customHeight="1" x14ac:dyDescent="0.2">
      <c r="A145" s="215">
        <v>42530</v>
      </c>
      <c r="C145" s="13" t="s">
        <v>367</v>
      </c>
      <c r="D145" s="27" t="s">
        <v>64</v>
      </c>
      <c r="E145" s="214" t="s">
        <v>363</v>
      </c>
      <c r="F145" s="228" t="s">
        <v>369</v>
      </c>
    </row>
    <row r="146" spans="1:6" ht="16.5" customHeight="1" x14ac:dyDescent="0.2">
      <c r="A146" s="215"/>
      <c r="B146" s="89"/>
      <c r="C146" s="13" t="s">
        <v>370</v>
      </c>
      <c r="D146" s="27" t="s">
        <v>64</v>
      </c>
      <c r="E146" s="214"/>
      <c r="F146" s="228"/>
    </row>
    <row r="147" spans="1:6" ht="16.5" customHeight="1" x14ac:dyDescent="0.2">
      <c r="A147" s="215"/>
      <c r="C147" s="13" t="s">
        <v>368</v>
      </c>
      <c r="D147" s="27" t="s">
        <v>64</v>
      </c>
      <c r="E147" s="214"/>
      <c r="F147" s="228"/>
    </row>
    <row r="148" spans="1:6" ht="16.5" customHeight="1" x14ac:dyDescent="0.2">
      <c r="A148" s="215"/>
      <c r="C148" s="13" t="s">
        <v>371</v>
      </c>
      <c r="D148" s="27" t="s">
        <v>64</v>
      </c>
      <c r="E148" s="214"/>
      <c r="F148" s="228"/>
    </row>
    <row r="149" spans="1:6" ht="16.5" customHeight="1" x14ac:dyDescent="0.2">
      <c r="A149" s="215"/>
      <c r="C149" s="13" t="s">
        <v>372</v>
      </c>
      <c r="D149" s="27" t="s">
        <v>64</v>
      </c>
      <c r="E149" s="214"/>
      <c r="F149" s="228"/>
    </row>
    <row r="150" spans="1:6" ht="16.5" customHeight="1" x14ac:dyDescent="0.2">
      <c r="A150" s="215"/>
      <c r="C150" s="13" t="s">
        <v>373</v>
      </c>
      <c r="D150" s="27" t="s">
        <v>64</v>
      </c>
      <c r="E150" s="214"/>
      <c r="F150" s="228"/>
    </row>
    <row r="151" spans="1:6" x14ac:dyDescent="0.2">
      <c r="A151" s="215">
        <v>42591</v>
      </c>
      <c r="C151" s="13" t="s">
        <v>377</v>
      </c>
      <c r="D151" s="27" t="s">
        <v>120</v>
      </c>
      <c r="E151" s="214" t="s">
        <v>375</v>
      </c>
    </row>
    <row r="152" spans="1:6" ht="24" x14ac:dyDescent="0.2">
      <c r="A152" s="215"/>
      <c r="C152" s="13" t="s">
        <v>378</v>
      </c>
      <c r="D152" s="27" t="s">
        <v>120</v>
      </c>
      <c r="E152" s="214"/>
    </row>
    <row r="153" spans="1:6" x14ac:dyDescent="0.2">
      <c r="A153" s="215"/>
      <c r="C153" s="72" t="s">
        <v>379</v>
      </c>
      <c r="D153" s="27" t="s">
        <v>122</v>
      </c>
      <c r="E153" s="214"/>
    </row>
    <row r="154" spans="1:6" ht="15" customHeight="1" x14ac:dyDescent="0.2">
      <c r="A154" s="215">
        <v>42622</v>
      </c>
      <c r="B154" s="213">
        <v>42622</v>
      </c>
      <c r="C154" s="13" t="s">
        <v>380</v>
      </c>
      <c r="D154" s="27" t="s">
        <v>60</v>
      </c>
      <c r="E154" s="214" t="s">
        <v>381</v>
      </c>
    </row>
    <row r="155" spans="1:6" ht="15" customHeight="1" x14ac:dyDescent="0.2">
      <c r="A155" s="215"/>
      <c r="B155" s="213"/>
      <c r="C155" s="13" t="s">
        <v>384</v>
      </c>
      <c r="D155" s="27" t="s">
        <v>60</v>
      </c>
      <c r="E155" s="214"/>
    </row>
    <row r="156" spans="1:6" ht="24" x14ac:dyDescent="0.2">
      <c r="A156" s="215"/>
      <c r="B156" s="213"/>
      <c r="C156" s="13" t="s">
        <v>400</v>
      </c>
      <c r="D156" s="27" t="s">
        <v>60</v>
      </c>
      <c r="E156" s="214"/>
      <c r="F156" s="99" t="s">
        <v>385</v>
      </c>
    </row>
    <row r="157" spans="1:6" x14ac:dyDescent="0.2">
      <c r="A157" s="215"/>
      <c r="B157" s="94"/>
      <c r="C157" s="13" t="s">
        <v>399</v>
      </c>
      <c r="D157" s="27" t="s">
        <v>64</v>
      </c>
      <c r="E157" s="214"/>
      <c r="F157" s="97"/>
    </row>
    <row r="158" spans="1:6" x14ac:dyDescent="0.2">
      <c r="A158" s="215"/>
      <c r="B158" s="67">
        <v>42683</v>
      </c>
      <c r="C158" s="13" t="s">
        <v>386</v>
      </c>
      <c r="D158" s="27" t="s">
        <v>122</v>
      </c>
      <c r="E158" s="214"/>
    </row>
    <row r="159" spans="1:6" x14ac:dyDescent="0.2">
      <c r="A159" s="215"/>
      <c r="B159" s="103">
        <v>42683</v>
      </c>
      <c r="C159" s="13" t="s">
        <v>398</v>
      </c>
      <c r="D159" s="27" t="s">
        <v>60</v>
      </c>
      <c r="E159" s="214"/>
    </row>
    <row r="160" spans="1:6" x14ac:dyDescent="0.2">
      <c r="A160" s="215">
        <v>42652</v>
      </c>
      <c r="B160" s="67">
        <v>42683</v>
      </c>
      <c r="C160" s="13" t="s">
        <v>402</v>
      </c>
      <c r="D160" s="27" t="s">
        <v>122</v>
      </c>
      <c r="E160" s="214" t="s">
        <v>401</v>
      </c>
    </row>
    <row r="161" spans="1:5" ht="24" x14ac:dyDescent="0.2">
      <c r="A161" s="215"/>
      <c r="C161" s="72" t="s">
        <v>408</v>
      </c>
      <c r="D161" s="27" t="s">
        <v>64</v>
      </c>
      <c r="E161" s="214"/>
    </row>
    <row r="162" spans="1:5" ht="24" x14ac:dyDescent="0.2">
      <c r="A162" s="215"/>
      <c r="C162" s="72" t="s">
        <v>407</v>
      </c>
      <c r="D162" s="27" t="s">
        <v>64</v>
      </c>
      <c r="E162" s="214"/>
    </row>
    <row r="163" spans="1:5" x14ac:dyDescent="0.2">
      <c r="A163" s="215"/>
      <c r="B163" s="67">
        <v>42713</v>
      </c>
      <c r="C163" s="72" t="s">
        <v>403</v>
      </c>
      <c r="D163" s="27" t="s">
        <v>60</v>
      </c>
      <c r="E163" s="214"/>
    </row>
    <row r="164" spans="1:5" x14ac:dyDescent="0.2">
      <c r="A164" s="215"/>
      <c r="B164" s="67">
        <v>42683</v>
      </c>
      <c r="C164" s="100" t="s">
        <v>406</v>
      </c>
      <c r="D164" s="27" t="s">
        <v>60</v>
      </c>
      <c r="E164" s="214"/>
    </row>
    <row r="165" spans="1:5" x14ac:dyDescent="0.2">
      <c r="A165" s="215">
        <v>42683</v>
      </c>
      <c r="C165" s="72" t="s">
        <v>409</v>
      </c>
      <c r="D165" s="27" t="s">
        <v>64</v>
      </c>
      <c r="E165" s="214" t="s">
        <v>410</v>
      </c>
    </row>
    <row r="166" spans="1:5" x14ac:dyDescent="0.2">
      <c r="A166" s="215"/>
      <c r="B166" s="67">
        <v>42683</v>
      </c>
      <c r="C166" s="13" t="s">
        <v>414</v>
      </c>
      <c r="D166" s="27" t="s">
        <v>60</v>
      </c>
      <c r="E166" s="214"/>
    </row>
    <row r="167" spans="1:5" x14ac:dyDescent="0.2">
      <c r="A167" s="215"/>
      <c r="B167" s="102">
        <v>42683</v>
      </c>
      <c r="C167" s="13" t="s">
        <v>413</v>
      </c>
      <c r="D167" s="27" t="s">
        <v>60</v>
      </c>
      <c r="E167" s="214"/>
    </row>
    <row r="168" spans="1:5" x14ac:dyDescent="0.2">
      <c r="A168" s="215"/>
      <c r="B168" s="102">
        <v>42683</v>
      </c>
      <c r="C168" s="13" t="s">
        <v>415</v>
      </c>
      <c r="D168" s="27" t="s">
        <v>60</v>
      </c>
      <c r="E168" s="214"/>
    </row>
    <row r="169" spans="1:5" x14ac:dyDescent="0.2">
      <c r="A169" s="215"/>
      <c r="C169" s="13" t="s">
        <v>416</v>
      </c>
      <c r="D169" s="27" t="s">
        <v>64</v>
      </c>
      <c r="E169" s="214"/>
    </row>
    <row r="170" spans="1:5" ht="24" x14ac:dyDescent="0.2">
      <c r="A170" s="215"/>
      <c r="C170" s="13" t="s">
        <v>417</v>
      </c>
      <c r="D170" s="27" t="s">
        <v>64</v>
      </c>
      <c r="E170" s="214"/>
    </row>
    <row r="171" spans="1:5" x14ac:dyDescent="0.2">
      <c r="A171" s="215"/>
      <c r="C171" s="13" t="s">
        <v>419</v>
      </c>
      <c r="D171" s="27" t="s">
        <v>64</v>
      </c>
      <c r="E171" s="214"/>
    </row>
    <row r="172" spans="1:5" x14ac:dyDescent="0.2">
      <c r="A172" s="215">
        <v>42713</v>
      </c>
      <c r="B172" s="105">
        <v>42713</v>
      </c>
      <c r="C172" s="13" t="s">
        <v>420</v>
      </c>
      <c r="D172" s="27" t="s">
        <v>60</v>
      </c>
      <c r="E172" s="214" t="s">
        <v>422</v>
      </c>
    </row>
    <row r="173" spans="1:5" ht="24" x14ac:dyDescent="0.2">
      <c r="A173" s="215"/>
      <c r="C173" s="13" t="s">
        <v>421</v>
      </c>
      <c r="D173" s="27" t="s">
        <v>64</v>
      </c>
      <c r="E173" s="214"/>
    </row>
    <row r="174" spans="1:5" ht="24" x14ac:dyDescent="0.2">
      <c r="A174" s="215"/>
      <c r="C174" s="72" t="s">
        <v>424</v>
      </c>
      <c r="D174" s="27" t="s">
        <v>64</v>
      </c>
      <c r="E174" s="214"/>
    </row>
    <row r="175" spans="1:5" ht="84" x14ac:dyDescent="0.2">
      <c r="A175" s="108" t="s">
        <v>428</v>
      </c>
      <c r="B175" s="107"/>
      <c r="C175" s="110" t="s">
        <v>432</v>
      </c>
      <c r="D175" s="27" t="s">
        <v>60</v>
      </c>
      <c r="E175" s="113" t="s">
        <v>429</v>
      </c>
    </row>
    <row r="176" spans="1:5" ht="15" customHeight="1" x14ac:dyDescent="0.2">
      <c r="A176" s="221" t="s">
        <v>433</v>
      </c>
      <c r="B176" s="220" t="s">
        <v>433</v>
      </c>
      <c r="C176" s="111" t="s">
        <v>438</v>
      </c>
      <c r="D176" s="112" t="s">
        <v>60</v>
      </c>
      <c r="E176" s="229" t="s">
        <v>434</v>
      </c>
    </row>
    <row r="177" spans="1:5" ht="15" customHeight="1" x14ac:dyDescent="0.2">
      <c r="A177" s="221"/>
      <c r="B177" s="220"/>
      <c r="C177" s="111" t="s">
        <v>437</v>
      </c>
      <c r="D177" s="112" t="s">
        <v>60</v>
      </c>
      <c r="E177" s="229"/>
    </row>
    <row r="178" spans="1:5" ht="15" customHeight="1" x14ac:dyDescent="0.2">
      <c r="A178" s="221"/>
      <c r="B178" s="220"/>
      <c r="C178" s="111" t="s">
        <v>439</v>
      </c>
      <c r="D178" s="112" t="s">
        <v>60</v>
      </c>
      <c r="E178" s="229"/>
    </row>
    <row r="179" spans="1:5" ht="15" customHeight="1" x14ac:dyDescent="0.2">
      <c r="A179" s="221"/>
      <c r="B179" s="220"/>
      <c r="C179" s="111" t="s">
        <v>440</v>
      </c>
      <c r="D179" s="112" t="s">
        <v>60</v>
      </c>
      <c r="E179" s="229"/>
    </row>
    <row r="180" spans="1:5" ht="15" customHeight="1" x14ac:dyDescent="0.2">
      <c r="A180" s="221"/>
      <c r="B180" s="220"/>
      <c r="C180" s="13" t="s">
        <v>441</v>
      </c>
      <c r="D180" s="27" t="s">
        <v>60</v>
      </c>
      <c r="E180" s="229"/>
    </row>
    <row r="181" spans="1:5" ht="24" x14ac:dyDescent="0.2">
      <c r="A181" s="221"/>
      <c r="B181" s="220"/>
      <c r="C181" s="13" t="s">
        <v>442</v>
      </c>
      <c r="D181" s="27" t="s">
        <v>60</v>
      </c>
      <c r="E181" s="229"/>
    </row>
    <row r="182" spans="1:5" ht="24" x14ac:dyDescent="0.2">
      <c r="A182" s="221"/>
      <c r="B182" s="220"/>
      <c r="C182" s="13" t="s">
        <v>443</v>
      </c>
      <c r="D182" s="27" t="s">
        <v>60</v>
      </c>
      <c r="E182" s="229"/>
    </row>
    <row r="183" spans="1:5" ht="24" x14ac:dyDescent="0.2">
      <c r="A183" s="221"/>
      <c r="B183" s="220"/>
      <c r="C183" s="13" t="s">
        <v>444</v>
      </c>
      <c r="D183" s="27" t="s">
        <v>60</v>
      </c>
      <c r="E183" s="229"/>
    </row>
    <row r="184" spans="1:5" ht="24" x14ac:dyDescent="0.2">
      <c r="A184" s="221"/>
      <c r="B184" s="220"/>
      <c r="C184" s="13" t="s">
        <v>445</v>
      </c>
      <c r="D184" s="27" t="s">
        <v>60</v>
      </c>
      <c r="E184" s="229"/>
    </row>
    <row r="185" spans="1:5" ht="15" customHeight="1" x14ac:dyDescent="0.2">
      <c r="A185" s="221"/>
      <c r="B185" s="220"/>
      <c r="C185" s="111" t="s">
        <v>446</v>
      </c>
      <c r="D185" s="27" t="s">
        <v>60</v>
      </c>
      <c r="E185" s="229"/>
    </row>
    <row r="186" spans="1:5" ht="15" customHeight="1" x14ac:dyDescent="0.2">
      <c r="A186" s="221"/>
      <c r="B186" s="220"/>
      <c r="C186" s="111" t="s">
        <v>447</v>
      </c>
      <c r="D186" s="27" t="s">
        <v>60</v>
      </c>
      <c r="E186" s="229"/>
    </row>
    <row r="187" spans="1:5" ht="36" x14ac:dyDescent="0.2">
      <c r="A187" s="215" t="s">
        <v>448</v>
      </c>
      <c r="B187" s="213" t="s">
        <v>452</v>
      </c>
      <c r="C187" s="13" t="s">
        <v>455</v>
      </c>
      <c r="D187" s="27" t="s">
        <v>60</v>
      </c>
      <c r="E187" s="214" t="s">
        <v>449</v>
      </c>
    </row>
    <row r="188" spans="1:5" ht="24" x14ac:dyDescent="0.2">
      <c r="A188" s="215"/>
      <c r="B188" s="213"/>
      <c r="C188" s="13" t="s">
        <v>454</v>
      </c>
      <c r="D188" s="27" t="s">
        <v>60</v>
      </c>
      <c r="E188" s="214"/>
    </row>
    <row r="189" spans="1:5" ht="15" customHeight="1" x14ac:dyDescent="0.2">
      <c r="A189" s="215"/>
      <c r="B189" s="213" t="s">
        <v>452</v>
      </c>
      <c r="C189" s="13" t="s">
        <v>453</v>
      </c>
      <c r="D189" s="27" t="s">
        <v>60</v>
      </c>
      <c r="E189" s="214"/>
    </row>
    <row r="190" spans="1:5" ht="24" x14ac:dyDescent="0.2">
      <c r="A190" s="215"/>
      <c r="B190" s="213"/>
      <c r="C190" s="13" t="s">
        <v>456</v>
      </c>
      <c r="D190" s="27" t="s">
        <v>60</v>
      </c>
      <c r="E190" s="214"/>
    </row>
  </sheetData>
  <mergeCells count="89">
    <mergeCell ref="E160:E164"/>
    <mergeCell ref="A160:A164"/>
    <mergeCell ref="E172:E174"/>
    <mergeCell ref="A187:A190"/>
    <mergeCell ref="E187:E190"/>
    <mergeCell ref="B189:B190"/>
    <mergeCell ref="A172:A174"/>
    <mergeCell ref="B187:B188"/>
    <mergeCell ref="E176:E186"/>
    <mergeCell ref="A176:A186"/>
    <mergeCell ref="B176:B186"/>
    <mergeCell ref="E165:E171"/>
    <mergeCell ref="A165:A171"/>
    <mergeCell ref="F145:F150"/>
    <mergeCell ref="A151:A153"/>
    <mergeCell ref="E151:E153"/>
    <mergeCell ref="E154:E159"/>
    <mergeCell ref="A154:A159"/>
    <mergeCell ref="B154:B156"/>
    <mergeCell ref="A145:A150"/>
    <mergeCell ref="E145:E150"/>
    <mergeCell ref="E14:E16"/>
    <mergeCell ref="A14:A16"/>
    <mergeCell ref="E30:E31"/>
    <mergeCell ref="A30:A31"/>
    <mergeCell ref="A21:A22"/>
    <mergeCell ref="E21:E22"/>
    <mergeCell ref="A18:A20"/>
    <mergeCell ref="E18:E20"/>
    <mergeCell ref="A26:A29"/>
    <mergeCell ref="E26:E29"/>
    <mergeCell ref="A23:A25"/>
    <mergeCell ref="E23:E25"/>
    <mergeCell ref="B23:B25"/>
    <mergeCell ref="B26:B29"/>
    <mergeCell ref="E3:E11"/>
    <mergeCell ref="E12:E13"/>
    <mergeCell ref="B3:B10"/>
    <mergeCell ref="A3:A11"/>
    <mergeCell ref="A12:A13"/>
    <mergeCell ref="E54:E60"/>
    <mergeCell ref="E61:E71"/>
    <mergeCell ref="A61:A71"/>
    <mergeCell ref="B61:B63"/>
    <mergeCell ref="B65:B66"/>
    <mergeCell ref="A54:A60"/>
    <mergeCell ref="B56:B60"/>
    <mergeCell ref="F35:F36"/>
    <mergeCell ref="E46:E53"/>
    <mergeCell ref="A46:A53"/>
    <mergeCell ref="E32:E45"/>
    <mergeCell ref="A32:A45"/>
    <mergeCell ref="B32:B38"/>
    <mergeCell ref="B48:B53"/>
    <mergeCell ref="B41:B42"/>
    <mergeCell ref="B72:B74"/>
    <mergeCell ref="E72:E77"/>
    <mergeCell ref="A72:A77"/>
    <mergeCell ref="B88:B91"/>
    <mergeCell ref="B93:B95"/>
    <mergeCell ref="E88:E95"/>
    <mergeCell ref="A88:A95"/>
    <mergeCell ref="E78:E81"/>
    <mergeCell ref="A78:A81"/>
    <mergeCell ref="B80:B81"/>
    <mergeCell ref="B82:B83"/>
    <mergeCell ref="E82:E85"/>
    <mergeCell ref="A82:A85"/>
    <mergeCell ref="A118:A122"/>
    <mergeCell ref="E118:E122"/>
    <mergeCell ref="E97:E99"/>
    <mergeCell ref="B108:B109"/>
    <mergeCell ref="B105:B106"/>
    <mergeCell ref="A105:A111"/>
    <mergeCell ref="E105:E111"/>
    <mergeCell ref="A97:A99"/>
    <mergeCell ref="B97:B98"/>
    <mergeCell ref="E100:E103"/>
    <mergeCell ref="A100:A103"/>
    <mergeCell ref="B111:B116"/>
    <mergeCell ref="A112:A117"/>
    <mergeCell ref="E112:E117"/>
    <mergeCell ref="B128:B131"/>
    <mergeCell ref="E124:E131"/>
    <mergeCell ref="A124:A131"/>
    <mergeCell ref="B124:B127"/>
    <mergeCell ref="E132:E143"/>
    <mergeCell ref="A132:A143"/>
    <mergeCell ref="B132:B138"/>
  </mergeCells>
  <conditionalFormatting sqref="D1:D25 D30:D31 D37:D1048576">
    <cfRule type="cellIs" dxfId="48" priority="21" operator="equal">
      <formula>"Fixing"</formula>
    </cfRule>
    <cfRule type="cellIs" dxfId="47" priority="22" operator="equal">
      <formula>"Working"</formula>
    </cfRule>
    <cfRule type="cellIs" dxfId="46" priority="23" operator="equal">
      <formula>"Not started"</formula>
    </cfRule>
    <cfRule type="cellIs" dxfId="45" priority="24" operator="equal">
      <formula>"Completed"</formula>
    </cfRule>
    <cfRule type="cellIs" dxfId="44" priority="25" operator="equal">
      <formula>"Completed"</formula>
    </cfRule>
  </conditionalFormatting>
  <conditionalFormatting sqref="D26:D29">
    <cfRule type="cellIs" dxfId="43" priority="16" operator="equal">
      <formula>"Fixing"</formula>
    </cfRule>
  </conditionalFormatting>
  <conditionalFormatting sqref="D26:D29">
    <cfRule type="cellIs" dxfId="42" priority="17" operator="equal">
      <formula>"Working"</formula>
    </cfRule>
  </conditionalFormatting>
  <conditionalFormatting sqref="D26:D29">
    <cfRule type="cellIs" dxfId="41" priority="18" operator="equal">
      <formula>"Not started"</formula>
    </cfRule>
  </conditionalFormatting>
  <conditionalFormatting sqref="D26:D29">
    <cfRule type="cellIs" dxfId="40" priority="19" operator="equal">
      <formula>"Completed"</formula>
    </cfRule>
  </conditionalFormatting>
  <conditionalFormatting sqref="D26:D29">
    <cfRule type="cellIs" dxfId="39" priority="20" operator="equal">
      <formula>"Completed"</formula>
    </cfRule>
  </conditionalFormatting>
  <conditionalFormatting sqref="D32:D34">
    <cfRule type="cellIs" dxfId="38" priority="11" operator="equal">
      <formula>"Fixing"</formula>
    </cfRule>
  </conditionalFormatting>
  <conditionalFormatting sqref="D32:D34">
    <cfRule type="cellIs" dxfId="37" priority="12" operator="equal">
      <formula>"Working"</formula>
    </cfRule>
  </conditionalFormatting>
  <conditionalFormatting sqref="D32:D34">
    <cfRule type="cellIs" dxfId="36" priority="13" operator="equal">
      <formula>"Not started"</formula>
    </cfRule>
  </conditionalFormatting>
  <conditionalFormatting sqref="D32:D34">
    <cfRule type="cellIs" dxfId="35" priority="14" operator="equal">
      <formula>"Completed"</formula>
    </cfRule>
  </conditionalFormatting>
  <conditionalFormatting sqref="D32:D34">
    <cfRule type="cellIs" dxfId="34" priority="15" operator="equal">
      <formula>"Completed"</formula>
    </cfRule>
  </conditionalFormatting>
  <conditionalFormatting sqref="D35">
    <cfRule type="cellIs" dxfId="33" priority="6" operator="equal">
      <formula>"Fixing"</formula>
    </cfRule>
  </conditionalFormatting>
  <conditionalFormatting sqref="D35">
    <cfRule type="cellIs" dxfId="32" priority="7" operator="equal">
      <formula>"Working"</formula>
    </cfRule>
  </conditionalFormatting>
  <conditionalFormatting sqref="D35">
    <cfRule type="cellIs" dxfId="31" priority="8" operator="equal">
      <formula>"Not started"</formula>
    </cfRule>
  </conditionalFormatting>
  <conditionalFormatting sqref="D35">
    <cfRule type="cellIs" dxfId="30" priority="9" operator="equal">
      <formula>"Completed"</formula>
    </cfRule>
  </conditionalFormatting>
  <conditionalFormatting sqref="D35">
    <cfRule type="cellIs" dxfId="29" priority="10" operator="equal">
      <formula>"Completed"</formula>
    </cfRule>
  </conditionalFormatting>
  <conditionalFormatting sqref="D36">
    <cfRule type="cellIs" dxfId="28" priority="1" operator="equal">
      <formula>"Fixing"</formula>
    </cfRule>
  </conditionalFormatting>
  <conditionalFormatting sqref="D36">
    <cfRule type="cellIs" dxfId="27" priority="2" operator="equal">
      <formula>"Working"</formula>
    </cfRule>
  </conditionalFormatting>
  <conditionalFormatting sqref="D36">
    <cfRule type="cellIs" dxfId="26" priority="3" operator="equal">
      <formula>"Not started"</formula>
    </cfRule>
  </conditionalFormatting>
  <conditionalFormatting sqref="D36">
    <cfRule type="cellIs" dxfId="25" priority="4" operator="equal">
      <formula>"Completed"</formula>
    </cfRule>
  </conditionalFormatting>
  <conditionalFormatting sqref="D36">
    <cfRule type="cellIs" dxfId="24" priority="5" operator="equal">
      <formula>"Completed"</formula>
    </cfRule>
  </conditionalFormatting>
  <dataValidations count="3">
    <dataValidation type="list" allowBlank="1" showInputMessage="1" showErrorMessage="1" sqref="D1 D3:D25 D30:D31 D37:D1048576">
      <formula1>"Completed, Not Started, Working, Fixing"</formula1>
    </dataValidation>
    <dataValidation type="custom" showInputMessage="1" showErrorMessage="1" sqref="D2">
      <formula1>"Status"</formula1>
    </dataValidation>
    <dataValidation type="list" allowBlank="1" showErrorMessage="1" sqref="D26:D29 D32:D36">
      <formula1>"Completed,Not Started,Working,Fixing"</formula1>
    </dataValidation>
  </dataValidations>
  <hyperlinks>
    <hyperlink ref="E3" location="Planning!I3" display="Planning!I3"/>
    <hyperlink ref="E12" location="Planning!I4" display="Planning!I4"/>
    <hyperlink ref="E14" location="Planning!I5" display="Planning!I5"/>
    <hyperlink ref="E17" location="Planning!I6" display="Planning!I6"/>
    <hyperlink ref="E18" location="Planning!J7" display="Planning!J7"/>
    <hyperlink ref="E21" location="Planning!J8" display="Planning!J8"/>
    <hyperlink ref="E23" location="Planning!J9" display="Planning!J9"/>
    <hyperlink ref="E26:E29" location="Planning!J10" display="Planning!J10"/>
    <hyperlink ref="E30" location="Planning!J11" display="Planning!J11"/>
    <hyperlink ref="E32" location="Planning!J12" display="Planning!J12"/>
    <hyperlink ref="E46" location="Planning!J13" display="Planning!J13"/>
    <hyperlink ref="E61" location="Planning!J15" display="Planning!J15"/>
    <hyperlink ref="E72" location="Planning!J16" display="Planning!J16"/>
    <hyperlink ref="E54" location="Planning!J14" display="Planning!J14"/>
    <hyperlink ref="E78" location="Planning!J17" display="Planning!J17"/>
    <hyperlink ref="E82" location="Planning!J18" display="Planning!J18"/>
    <hyperlink ref="E86" location="Planning!J19" display="Planning!J19"/>
    <hyperlink ref="E87" location="Planning!J20" display="Planning!J20"/>
    <hyperlink ref="E88" location="Planning!J21" display="Planning!J21"/>
    <hyperlink ref="E96" location="Planning!J22" display="Planning!J22"/>
    <hyperlink ref="E97" location="Planning!J23" display="Planning!J23"/>
    <hyperlink ref="E100" location="Planning!J24" display="Planning!J24"/>
    <hyperlink ref="E104" location="Planning!J25" display="Planning!J25"/>
    <hyperlink ref="E105:E111" location="Planning!J26" display="Planning!J26"/>
    <hyperlink ref="E112:E113" location="Planning!J27" display="Planning!J27"/>
    <hyperlink ref="E118" location="Planning!J28" display="Planning!J28"/>
    <hyperlink ref="E123" location="Planning!J29" display="Planning!J29"/>
    <hyperlink ref="E124" location="Planning!J30" display="Planning!J30"/>
    <hyperlink ref="E132" location="Planning!J31" display="Planning!J31"/>
    <hyperlink ref="E144" location="Planning!J32" display="Planning!J32"/>
    <hyperlink ref="E145" location="Planning!J33" display="Planning!J33"/>
    <hyperlink ref="E151" location="Planning!J34" display="Planning!J34"/>
    <hyperlink ref="E154" location="Checklist!J35" display="Checklist!J35"/>
    <hyperlink ref="E154:E155" location="Planning!J35" display="Planning!J35"/>
    <hyperlink ref="E160" location="Planning!J36" display="Planning!J36"/>
    <hyperlink ref="E165" location="Planning!J37" display="Planning!J37"/>
    <hyperlink ref="E172:E173" location="Planning!J38" display="Planning!J38"/>
    <hyperlink ref="E175" location="Planning!J39" display="Planning!J39"/>
    <hyperlink ref="E176" location="Planning!J40" display="Planning!J40"/>
    <hyperlink ref="E187" location="Planning!J41" display="Planning!J41"/>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60"/>
  <sheetViews>
    <sheetView tabSelected="1" zoomScaleNormal="100" workbookViewId="0">
      <pane ySplit="1" topLeftCell="A248" activePane="bottomLeft" state="frozen"/>
      <selection pane="bottomLeft" activeCell="G253" sqref="G253"/>
    </sheetView>
  </sheetViews>
  <sheetFormatPr defaultRowHeight="15" x14ac:dyDescent="0.25"/>
  <cols>
    <col min="1" max="1" width="44" style="140" customWidth="1"/>
    <col min="2" max="2" width="16.85546875" style="119" customWidth="1"/>
    <col min="3" max="3" width="18" style="119" customWidth="1"/>
    <col min="4" max="4" width="34.42578125" style="149" customWidth="1"/>
    <col min="5" max="5" width="13" style="147" customWidth="1"/>
    <col min="6" max="6" width="16.7109375" style="147" customWidth="1"/>
  </cols>
  <sheetData>
    <row r="1" spans="1:9" x14ac:dyDescent="0.25">
      <c r="A1" s="139" t="s">
        <v>468</v>
      </c>
      <c r="B1" s="121" t="s">
        <v>469</v>
      </c>
      <c r="C1" s="121" t="s">
        <v>59</v>
      </c>
      <c r="D1" s="139" t="s">
        <v>174</v>
      </c>
      <c r="E1" s="146" t="s">
        <v>553</v>
      </c>
      <c r="F1" s="146" t="s">
        <v>555</v>
      </c>
    </row>
    <row r="2" spans="1:9" ht="60" x14ac:dyDescent="0.25">
      <c r="A2" s="140" t="s">
        <v>472</v>
      </c>
      <c r="B2" s="119" t="s">
        <v>607</v>
      </c>
      <c r="C2" s="119" t="s">
        <v>471</v>
      </c>
      <c r="D2" s="153" t="s">
        <v>614</v>
      </c>
      <c r="E2" s="241" t="s">
        <v>554</v>
      </c>
      <c r="F2" s="185" t="s">
        <v>554</v>
      </c>
      <c r="H2" s="244" t="s">
        <v>482</v>
      </c>
      <c r="I2" s="245"/>
    </row>
    <row r="3" spans="1:9" x14ac:dyDescent="0.25">
      <c r="A3" s="140" t="s">
        <v>473</v>
      </c>
      <c r="B3" s="155" t="s">
        <v>607</v>
      </c>
      <c r="C3" s="119" t="s">
        <v>40</v>
      </c>
      <c r="E3" s="241"/>
      <c r="H3" s="245"/>
      <c r="I3" s="245"/>
    </row>
    <row r="4" spans="1:9" ht="90" x14ac:dyDescent="0.25">
      <c r="A4" s="140" t="s">
        <v>474</v>
      </c>
      <c r="B4" s="155" t="s">
        <v>607</v>
      </c>
      <c r="C4" s="119" t="s">
        <v>471</v>
      </c>
      <c r="D4" s="157" t="s">
        <v>615</v>
      </c>
      <c r="E4" s="241"/>
      <c r="F4" s="248" t="s">
        <v>554</v>
      </c>
    </row>
    <row r="5" spans="1:9" ht="45" x14ac:dyDescent="0.25">
      <c r="A5" s="140" t="s">
        <v>475</v>
      </c>
      <c r="B5" s="155" t="s">
        <v>607</v>
      </c>
      <c r="C5" s="119" t="s">
        <v>471</v>
      </c>
      <c r="D5" s="153" t="s">
        <v>616</v>
      </c>
      <c r="E5" s="241"/>
      <c r="F5" s="248"/>
    </row>
    <row r="6" spans="1:9" x14ac:dyDescent="0.25">
      <c r="A6" s="140" t="s">
        <v>476</v>
      </c>
      <c r="B6" s="155" t="s">
        <v>607</v>
      </c>
      <c r="C6" s="119" t="s">
        <v>40</v>
      </c>
      <c r="E6" s="241"/>
    </row>
    <row r="7" spans="1:9" ht="30" x14ac:dyDescent="0.25">
      <c r="A7" s="140" t="s">
        <v>477</v>
      </c>
      <c r="B7" s="155" t="s">
        <v>607</v>
      </c>
      <c r="C7" s="119" t="s">
        <v>471</v>
      </c>
      <c r="D7" s="153" t="s">
        <v>617</v>
      </c>
      <c r="E7" s="241"/>
      <c r="F7" s="185" t="s">
        <v>554</v>
      </c>
    </row>
    <row r="8" spans="1:9" x14ac:dyDescent="0.25">
      <c r="A8" s="140" t="s">
        <v>478</v>
      </c>
      <c r="B8" s="155" t="s">
        <v>607</v>
      </c>
      <c r="C8" s="119" t="s">
        <v>40</v>
      </c>
      <c r="E8" s="241"/>
    </row>
    <row r="9" spans="1:9" ht="60" x14ac:dyDescent="0.25">
      <c r="A9" s="140" t="s">
        <v>479</v>
      </c>
      <c r="B9" s="155" t="s">
        <v>607</v>
      </c>
      <c r="C9" s="119" t="s">
        <v>471</v>
      </c>
      <c r="D9" s="151" t="s">
        <v>511</v>
      </c>
      <c r="E9" s="241"/>
      <c r="F9" s="248" t="s">
        <v>554</v>
      </c>
    </row>
    <row r="10" spans="1:9" ht="60" x14ac:dyDescent="0.25">
      <c r="A10" s="140" t="s">
        <v>480</v>
      </c>
      <c r="B10" s="155" t="s">
        <v>607</v>
      </c>
      <c r="C10" s="119" t="s">
        <v>471</v>
      </c>
      <c r="D10" s="157" t="s">
        <v>618</v>
      </c>
      <c r="E10" s="241"/>
      <c r="F10" s="248"/>
    </row>
    <row r="11" spans="1:9" x14ac:dyDescent="0.25">
      <c r="A11" s="140" t="s">
        <v>483</v>
      </c>
      <c r="B11" s="155" t="s">
        <v>607</v>
      </c>
      <c r="C11" s="119" t="s">
        <v>40</v>
      </c>
      <c r="E11" s="241"/>
    </row>
    <row r="12" spans="1:9" ht="45" x14ac:dyDescent="0.25">
      <c r="A12" s="140" t="s">
        <v>484</v>
      </c>
      <c r="B12" s="155" t="s">
        <v>607</v>
      </c>
      <c r="C12" s="119" t="s">
        <v>471</v>
      </c>
      <c r="D12" s="153" t="s">
        <v>619</v>
      </c>
      <c r="E12" s="241"/>
      <c r="F12" s="185" t="s">
        <v>554</v>
      </c>
    </row>
    <row r="13" spans="1:9" x14ac:dyDescent="0.25">
      <c r="A13" s="140" t="s">
        <v>485</v>
      </c>
      <c r="B13" s="155" t="s">
        <v>607</v>
      </c>
      <c r="C13" s="119" t="s">
        <v>40</v>
      </c>
      <c r="E13" s="241"/>
    </row>
    <row r="14" spans="1:9" ht="30" x14ac:dyDescent="0.25">
      <c r="A14" s="140" t="s">
        <v>486</v>
      </c>
      <c r="B14" s="155" t="s">
        <v>607</v>
      </c>
      <c r="C14" s="119" t="s">
        <v>40</v>
      </c>
      <c r="D14" s="151" t="s">
        <v>592</v>
      </c>
      <c r="E14" s="241"/>
    </row>
    <row r="15" spans="1:9" x14ac:dyDescent="0.25">
      <c r="A15" s="140" t="s">
        <v>487</v>
      </c>
      <c r="B15" s="155" t="s">
        <v>607</v>
      </c>
      <c r="C15" s="119" t="s">
        <v>40</v>
      </c>
      <c r="E15" s="241"/>
    </row>
    <row r="16" spans="1:9" x14ac:dyDescent="0.25">
      <c r="A16" s="140" t="s">
        <v>488</v>
      </c>
      <c r="B16" s="155" t="s">
        <v>607</v>
      </c>
      <c r="C16" s="119" t="s">
        <v>40</v>
      </c>
      <c r="E16" s="241"/>
    </row>
    <row r="17" spans="1:6" x14ac:dyDescent="0.25">
      <c r="A17" s="140" t="s">
        <v>489</v>
      </c>
      <c r="B17" s="155" t="s">
        <v>607</v>
      </c>
      <c r="C17" s="119" t="s">
        <v>40</v>
      </c>
      <c r="E17" s="241"/>
    </row>
    <row r="18" spans="1:6" x14ac:dyDescent="0.25">
      <c r="A18" s="140" t="s">
        <v>490</v>
      </c>
      <c r="B18" s="155" t="s">
        <v>607</v>
      </c>
      <c r="C18" s="119" t="s">
        <v>40</v>
      </c>
      <c r="E18" s="241"/>
    </row>
    <row r="19" spans="1:6" ht="45" x14ac:dyDescent="0.25">
      <c r="A19" s="140" t="s">
        <v>491</v>
      </c>
      <c r="B19" s="155" t="s">
        <v>607</v>
      </c>
      <c r="C19" s="119" t="s">
        <v>471</v>
      </c>
      <c r="D19" s="159" t="s">
        <v>644</v>
      </c>
      <c r="E19" s="241"/>
      <c r="F19" s="182">
        <v>42411</v>
      </c>
    </row>
    <row r="20" spans="1:6" ht="75" x14ac:dyDescent="0.25">
      <c r="A20" s="140" t="s">
        <v>492</v>
      </c>
      <c r="B20" s="155" t="s">
        <v>607</v>
      </c>
      <c r="C20" s="119" t="s">
        <v>471</v>
      </c>
      <c r="D20" s="153" t="s">
        <v>620</v>
      </c>
      <c r="E20" s="241"/>
      <c r="F20" s="185" t="s">
        <v>554</v>
      </c>
    </row>
    <row r="21" spans="1:6" ht="45" x14ac:dyDescent="0.25">
      <c r="A21" s="140" t="s">
        <v>493</v>
      </c>
      <c r="B21" s="155" t="s">
        <v>607</v>
      </c>
      <c r="C21" s="119" t="s">
        <v>471</v>
      </c>
      <c r="D21" s="159" t="s">
        <v>656</v>
      </c>
      <c r="E21" s="241"/>
      <c r="F21" s="182">
        <v>42411</v>
      </c>
    </row>
    <row r="22" spans="1:6" x14ac:dyDescent="0.25">
      <c r="A22" s="140" t="s">
        <v>494</v>
      </c>
      <c r="B22" s="155" t="s">
        <v>607</v>
      </c>
      <c r="C22" s="119" t="s">
        <v>40</v>
      </c>
      <c r="D22" s="151" t="s">
        <v>499</v>
      </c>
      <c r="E22" s="241"/>
    </row>
    <row r="23" spans="1:6" x14ac:dyDescent="0.25">
      <c r="A23" s="140" t="s">
        <v>495</v>
      </c>
      <c r="B23" s="155" t="s">
        <v>607</v>
      </c>
      <c r="C23" s="119" t="s">
        <v>40</v>
      </c>
      <c r="E23" s="241"/>
    </row>
    <row r="24" spans="1:6" x14ac:dyDescent="0.25">
      <c r="A24" s="140" t="s">
        <v>496</v>
      </c>
      <c r="B24" s="155" t="s">
        <v>607</v>
      </c>
      <c r="C24" s="119" t="s">
        <v>40</v>
      </c>
      <c r="E24" s="241"/>
    </row>
    <row r="25" spans="1:6" x14ac:dyDescent="0.25">
      <c r="A25" s="140" t="s">
        <v>497</v>
      </c>
      <c r="B25" s="155" t="s">
        <v>607</v>
      </c>
      <c r="C25" s="119" t="s">
        <v>40</v>
      </c>
      <c r="E25" s="241"/>
    </row>
    <row r="26" spans="1:6" ht="75" x14ac:dyDescent="0.25">
      <c r="A26" s="140" t="s">
        <v>498</v>
      </c>
      <c r="B26" s="155" t="s">
        <v>607</v>
      </c>
      <c r="C26" s="119" t="s">
        <v>471</v>
      </c>
      <c r="D26" s="157" t="s">
        <v>621</v>
      </c>
      <c r="E26" s="241"/>
      <c r="F26" s="185" t="s">
        <v>554</v>
      </c>
    </row>
    <row r="27" spans="1:6" ht="45" x14ac:dyDescent="0.25">
      <c r="A27" s="140" t="s">
        <v>500</v>
      </c>
      <c r="B27" s="155" t="s">
        <v>607</v>
      </c>
      <c r="C27" s="119" t="s">
        <v>471</v>
      </c>
      <c r="D27" s="159" t="s">
        <v>657</v>
      </c>
      <c r="E27" s="241"/>
      <c r="F27" s="182">
        <v>42411</v>
      </c>
    </row>
    <row r="28" spans="1:6" ht="60" x14ac:dyDescent="0.25">
      <c r="A28" s="140" t="s">
        <v>501</v>
      </c>
      <c r="B28" s="155" t="s">
        <v>607</v>
      </c>
      <c r="C28" s="119" t="s">
        <v>471</v>
      </c>
      <c r="D28" s="153" t="s">
        <v>622</v>
      </c>
      <c r="E28" s="241"/>
      <c r="F28" s="185" t="s">
        <v>554</v>
      </c>
    </row>
    <row r="29" spans="1:6" x14ac:dyDescent="0.25">
      <c r="A29" s="140" t="s">
        <v>502</v>
      </c>
      <c r="B29" s="155" t="s">
        <v>607</v>
      </c>
      <c r="C29" s="119" t="s">
        <v>40</v>
      </c>
      <c r="E29" s="241"/>
    </row>
    <row r="30" spans="1:6" x14ac:dyDescent="0.25">
      <c r="A30" s="140" t="s">
        <v>503</v>
      </c>
      <c r="B30" s="155" t="s">
        <v>607</v>
      </c>
      <c r="C30" s="119" t="s">
        <v>40</v>
      </c>
      <c r="E30" s="241"/>
    </row>
    <row r="31" spans="1:6" x14ac:dyDescent="0.25">
      <c r="A31" s="140" t="s">
        <v>504</v>
      </c>
      <c r="B31" s="155" t="s">
        <v>607</v>
      </c>
      <c r="C31" s="119" t="s">
        <v>40</v>
      </c>
      <c r="E31" s="241"/>
    </row>
    <row r="32" spans="1:6" x14ac:dyDescent="0.25">
      <c r="A32" s="140" t="s">
        <v>505</v>
      </c>
      <c r="B32" s="155" t="s">
        <v>607</v>
      </c>
      <c r="C32" s="119" t="s">
        <v>40</v>
      </c>
      <c r="E32" s="241"/>
    </row>
    <row r="33" spans="1:5" x14ac:dyDescent="0.25">
      <c r="A33" s="140" t="s">
        <v>506</v>
      </c>
      <c r="B33" s="155" t="s">
        <v>607</v>
      </c>
      <c r="C33" s="119" t="s">
        <v>40</v>
      </c>
      <c r="E33" s="241"/>
    </row>
    <row r="34" spans="1:5" x14ac:dyDescent="0.25">
      <c r="A34" s="140" t="s">
        <v>507</v>
      </c>
      <c r="B34" s="155" t="s">
        <v>607</v>
      </c>
      <c r="C34" s="119" t="s">
        <v>40</v>
      </c>
      <c r="E34" s="241"/>
    </row>
    <row r="35" spans="1:5" x14ac:dyDescent="0.25">
      <c r="A35" s="140" t="s">
        <v>508</v>
      </c>
      <c r="B35" s="155" t="s">
        <v>607</v>
      </c>
      <c r="C35" s="119" t="s">
        <v>40</v>
      </c>
      <c r="E35" s="241"/>
    </row>
    <row r="36" spans="1:5" x14ac:dyDescent="0.25">
      <c r="A36" s="140" t="s">
        <v>509</v>
      </c>
      <c r="B36" s="155" t="s">
        <v>607</v>
      </c>
      <c r="C36" s="119" t="s">
        <v>40</v>
      </c>
      <c r="E36" s="241"/>
    </row>
    <row r="37" spans="1:5" x14ac:dyDescent="0.25">
      <c r="A37" s="140" t="s">
        <v>510</v>
      </c>
      <c r="B37" s="155" t="s">
        <v>607</v>
      </c>
      <c r="C37" s="119" t="s">
        <v>40</v>
      </c>
      <c r="E37" s="241"/>
    </row>
    <row r="38" spans="1:5" ht="30" x14ac:dyDescent="0.25">
      <c r="A38" s="140" t="s">
        <v>533</v>
      </c>
      <c r="B38" s="155" t="s">
        <v>607</v>
      </c>
      <c r="C38" s="143" t="s">
        <v>40</v>
      </c>
      <c r="E38" s="241"/>
    </row>
    <row r="39" spans="1:5" ht="30" x14ac:dyDescent="0.25">
      <c r="A39" s="140" t="s">
        <v>539</v>
      </c>
      <c r="B39" s="155" t="s">
        <v>607</v>
      </c>
      <c r="C39" s="143" t="s">
        <v>40</v>
      </c>
      <c r="E39" s="241"/>
    </row>
    <row r="40" spans="1:5" ht="30" x14ac:dyDescent="0.25">
      <c r="A40" s="140" t="s">
        <v>538</v>
      </c>
      <c r="B40" s="155" t="s">
        <v>607</v>
      </c>
      <c r="C40" s="143" t="s">
        <v>40</v>
      </c>
      <c r="E40" s="241"/>
    </row>
    <row r="41" spans="1:5" x14ac:dyDescent="0.25">
      <c r="A41" s="140" t="s">
        <v>537</v>
      </c>
      <c r="B41" s="155" t="s">
        <v>607</v>
      </c>
      <c r="C41" s="143" t="s">
        <v>40</v>
      </c>
      <c r="E41" s="241"/>
    </row>
    <row r="42" spans="1:5" ht="30" x14ac:dyDescent="0.25">
      <c r="A42" s="140" t="s">
        <v>536</v>
      </c>
      <c r="B42" s="155" t="s">
        <v>607</v>
      </c>
      <c r="C42" s="143" t="s">
        <v>40</v>
      </c>
      <c r="E42" s="241"/>
    </row>
    <row r="43" spans="1:5" ht="30" x14ac:dyDescent="0.25">
      <c r="A43" s="140" t="s">
        <v>535</v>
      </c>
      <c r="B43" s="155" t="s">
        <v>607</v>
      </c>
      <c r="C43" s="143" t="s">
        <v>40</v>
      </c>
      <c r="E43" s="241"/>
    </row>
    <row r="44" spans="1:5" x14ac:dyDescent="0.25">
      <c r="A44" s="140" t="s">
        <v>540</v>
      </c>
      <c r="B44" s="155" t="s">
        <v>607</v>
      </c>
      <c r="C44" s="143" t="s">
        <v>40</v>
      </c>
      <c r="E44" s="241"/>
    </row>
    <row r="45" spans="1:5" ht="30" x14ac:dyDescent="0.25">
      <c r="A45" s="140" t="s">
        <v>541</v>
      </c>
      <c r="B45" s="155" t="s">
        <v>607</v>
      </c>
      <c r="C45" s="143" t="s">
        <v>40</v>
      </c>
      <c r="E45" s="241"/>
    </row>
    <row r="46" spans="1:5" x14ac:dyDescent="0.25">
      <c r="A46" s="140" t="s">
        <v>534</v>
      </c>
      <c r="B46" s="155" t="s">
        <v>607</v>
      </c>
      <c r="C46" s="143" t="s">
        <v>40</v>
      </c>
      <c r="E46" s="241"/>
    </row>
    <row r="47" spans="1:5" x14ac:dyDescent="0.25">
      <c r="A47" s="140" t="s">
        <v>512</v>
      </c>
      <c r="B47" s="155" t="s">
        <v>607</v>
      </c>
      <c r="C47" s="119" t="s">
        <v>40</v>
      </c>
      <c r="E47" s="241"/>
    </row>
    <row r="48" spans="1:5" x14ac:dyDescent="0.25">
      <c r="A48" s="140" t="s">
        <v>513</v>
      </c>
      <c r="B48" s="155" t="s">
        <v>607</v>
      </c>
      <c r="C48" s="119" t="s">
        <v>40</v>
      </c>
      <c r="E48" s="241"/>
    </row>
    <row r="49" spans="1:6" x14ac:dyDescent="0.25">
      <c r="A49" s="140" t="s">
        <v>518</v>
      </c>
      <c r="B49" s="155" t="s">
        <v>607</v>
      </c>
      <c r="C49" s="119" t="s">
        <v>40</v>
      </c>
      <c r="E49" s="241"/>
    </row>
    <row r="50" spans="1:6" x14ac:dyDescent="0.25">
      <c r="A50" s="140" t="s">
        <v>519</v>
      </c>
      <c r="B50" s="155" t="s">
        <v>607</v>
      </c>
      <c r="C50" s="119" t="s">
        <v>40</v>
      </c>
      <c r="E50" s="241"/>
    </row>
    <row r="51" spans="1:6" x14ac:dyDescent="0.25">
      <c r="A51" s="140" t="s">
        <v>525</v>
      </c>
      <c r="B51" s="155" t="s">
        <v>607</v>
      </c>
      <c r="C51" s="119" t="s">
        <v>40</v>
      </c>
      <c r="E51" s="241"/>
    </row>
    <row r="52" spans="1:6" x14ac:dyDescent="0.25">
      <c r="A52" s="140" t="s">
        <v>517</v>
      </c>
      <c r="B52" s="155" t="s">
        <v>607</v>
      </c>
      <c r="C52" s="119" t="s">
        <v>40</v>
      </c>
      <c r="E52" s="241"/>
    </row>
    <row r="53" spans="1:6" x14ac:dyDescent="0.25">
      <c r="A53" s="140" t="s">
        <v>521</v>
      </c>
      <c r="B53" s="155" t="s">
        <v>607</v>
      </c>
      <c r="C53" s="142" t="s">
        <v>40</v>
      </c>
      <c r="E53" s="241"/>
    </row>
    <row r="54" spans="1:6" x14ac:dyDescent="0.25">
      <c r="A54" s="140" t="s">
        <v>516</v>
      </c>
      <c r="B54" s="155" t="s">
        <v>607</v>
      </c>
      <c r="C54" s="119" t="s">
        <v>40</v>
      </c>
      <c r="E54" s="241"/>
    </row>
    <row r="55" spans="1:6" ht="60" x14ac:dyDescent="0.25">
      <c r="A55" s="140" t="s">
        <v>514</v>
      </c>
      <c r="B55" s="155" t="s">
        <v>607</v>
      </c>
      <c r="C55" s="119" t="s">
        <v>470</v>
      </c>
      <c r="D55" s="162" t="s">
        <v>515</v>
      </c>
      <c r="E55" s="241"/>
    </row>
    <row r="56" spans="1:6" ht="75" x14ac:dyDescent="0.25">
      <c r="A56" s="140" t="s">
        <v>520</v>
      </c>
      <c r="B56" s="119" t="s">
        <v>606</v>
      </c>
      <c r="C56" s="119" t="s">
        <v>471</v>
      </c>
      <c r="D56" s="153" t="s">
        <v>560</v>
      </c>
      <c r="E56" s="241"/>
      <c r="F56" s="182" t="s">
        <v>623</v>
      </c>
    </row>
    <row r="57" spans="1:6" x14ac:dyDescent="0.25">
      <c r="A57" s="140" t="s">
        <v>522</v>
      </c>
      <c r="B57" s="119" t="s">
        <v>606</v>
      </c>
      <c r="C57" s="119" t="s">
        <v>40</v>
      </c>
      <c r="E57" s="241"/>
    </row>
    <row r="58" spans="1:6" x14ac:dyDescent="0.25">
      <c r="A58" s="140" t="s">
        <v>523</v>
      </c>
      <c r="B58" s="119" t="s">
        <v>605</v>
      </c>
      <c r="C58" s="119" t="s">
        <v>40</v>
      </c>
      <c r="E58" s="241"/>
    </row>
    <row r="59" spans="1:6" ht="135" x14ac:dyDescent="0.25">
      <c r="A59" s="140" t="s">
        <v>524</v>
      </c>
      <c r="B59" s="150" t="s">
        <v>605</v>
      </c>
      <c r="C59" s="119" t="s">
        <v>471</v>
      </c>
      <c r="D59" s="153" t="s">
        <v>624</v>
      </c>
      <c r="E59" s="241"/>
      <c r="F59" s="185" t="s">
        <v>554</v>
      </c>
    </row>
    <row r="60" spans="1:6" x14ac:dyDescent="0.25">
      <c r="A60" s="140" t="s">
        <v>526</v>
      </c>
      <c r="B60" s="119" t="s">
        <v>605</v>
      </c>
      <c r="C60" s="119" t="s">
        <v>40</v>
      </c>
      <c r="E60" s="241"/>
    </row>
    <row r="61" spans="1:6" x14ac:dyDescent="0.25">
      <c r="A61" s="140" t="s">
        <v>529</v>
      </c>
      <c r="B61" s="150" t="s">
        <v>605</v>
      </c>
      <c r="C61" s="119" t="s">
        <v>40</v>
      </c>
      <c r="E61" s="156" t="s">
        <v>558</v>
      </c>
    </row>
    <row r="62" spans="1:6" x14ac:dyDescent="0.25">
      <c r="A62" s="140" t="s">
        <v>527</v>
      </c>
      <c r="B62" s="150" t="s">
        <v>605</v>
      </c>
      <c r="C62" s="119" t="s">
        <v>40</v>
      </c>
      <c r="D62" s="151" t="s">
        <v>658</v>
      </c>
      <c r="E62" s="172">
        <v>42562</v>
      </c>
    </row>
    <row r="63" spans="1:6" x14ac:dyDescent="0.25">
      <c r="A63" s="140" t="s">
        <v>528</v>
      </c>
      <c r="B63" s="150" t="s">
        <v>605</v>
      </c>
      <c r="C63" s="119" t="s">
        <v>40</v>
      </c>
      <c r="E63" s="172">
        <v>42624</v>
      </c>
    </row>
    <row r="64" spans="1:6" ht="30" x14ac:dyDescent="0.25">
      <c r="A64" s="140" t="s">
        <v>530</v>
      </c>
      <c r="B64" s="150" t="s">
        <v>605</v>
      </c>
      <c r="C64" s="119" t="s">
        <v>40</v>
      </c>
      <c r="E64" s="152" t="s">
        <v>554</v>
      </c>
    </row>
    <row r="65" spans="1:6" x14ac:dyDescent="0.25">
      <c r="A65" s="140" t="s">
        <v>531</v>
      </c>
      <c r="B65" s="150" t="s">
        <v>605</v>
      </c>
      <c r="C65" s="119" t="s">
        <v>40</v>
      </c>
      <c r="E65" s="246" t="s">
        <v>558</v>
      </c>
    </row>
    <row r="66" spans="1:6" x14ac:dyDescent="0.25">
      <c r="A66" s="140" t="s">
        <v>531</v>
      </c>
      <c r="B66" s="119" t="s">
        <v>605</v>
      </c>
      <c r="C66" s="119" t="s">
        <v>40</v>
      </c>
      <c r="E66" s="247"/>
    </row>
    <row r="67" spans="1:6" ht="30" x14ac:dyDescent="0.25">
      <c r="A67" s="140" t="s">
        <v>532</v>
      </c>
      <c r="B67" s="144" t="s">
        <v>605</v>
      </c>
      <c r="C67" s="119" t="s">
        <v>40</v>
      </c>
      <c r="E67" s="241" t="s">
        <v>554</v>
      </c>
    </row>
    <row r="68" spans="1:6" ht="30" x14ac:dyDescent="0.25">
      <c r="A68" s="140" t="s">
        <v>532</v>
      </c>
      <c r="B68" s="119" t="s">
        <v>605</v>
      </c>
      <c r="C68" s="119" t="s">
        <v>40</v>
      </c>
      <c r="E68" s="241"/>
    </row>
    <row r="69" spans="1:6" x14ac:dyDescent="0.25">
      <c r="A69" s="140" t="s">
        <v>542</v>
      </c>
      <c r="B69" s="144" t="s">
        <v>606</v>
      </c>
      <c r="C69" s="119" t="s">
        <v>40</v>
      </c>
      <c r="E69" s="241"/>
    </row>
    <row r="70" spans="1:6" x14ac:dyDescent="0.25">
      <c r="A70" s="140" t="s">
        <v>543</v>
      </c>
      <c r="B70" s="155" t="s">
        <v>606</v>
      </c>
      <c r="C70" s="119" t="s">
        <v>40</v>
      </c>
      <c r="E70" s="241"/>
    </row>
    <row r="71" spans="1:6" x14ac:dyDescent="0.25">
      <c r="A71" s="140" t="s">
        <v>544</v>
      </c>
      <c r="B71" s="155" t="s">
        <v>606</v>
      </c>
      <c r="C71" s="119" t="s">
        <v>40</v>
      </c>
      <c r="E71" s="241"/>
    </row>
    <row r="72" spans="1:6" x14ac:dyDescent="0.25">
      <c r="A72" s="140" t="s">
        <v>545</v>
      </c>
      <c r="B72" s="155" t="s">
        <v>606</v>
      </c>
      <c r="C72" s="119" t="s">
        <v>40</v>
      </c>
      <c r="E72" s="241"/>
    </row>
    <row r="73" spans="1:6" ht="30" x14ac:dyDescent="0.25">
      <c r="A73" s="140" t="s">
        <v>546</v>
      </c>
      <c r="B73" s="155" t="s">
        <v>606</v>
      </c>
      <c r="C73" s="119" t="s">
        <v>40</v>
      </c>
      <c r="D73" s="151" t="s">
        <v>564</v>
      </c>
      <c r="E73" s="241"/>
    </row>
    <row r="74" spans="1:6" ht="60" x14ac:dyDescent="0.25">
      <c r="A74" s="140" t="s">
        <v>547</v>
      </c>
      <c r="B74" s="155" t="s">
        <v>606</v>
      </c>
      <c r="C74" s="119" t="s">
        <v>471</v>
      </c>
      <c r="D74" s="153" t="s">
        <v>609</v>
      </c>
      <c r="E74" s="241"/>
      <c r="F74" s="182">
        <v>42411</v>
      </c>
    </row>
    <row r="75" spans="1:6" x14ac:dyDescent="0.25">
      <c r="A75" s="140" t="s">
        <v>548</v>
      </c>
      <c r="B75" s="155" t="s">
        <v>606</v>
      </c>
      <c r="C75" s="119" t="s">
        <v>40</v>
      </c>
      <c r="E75" s="241" t="s">
        <v>554</v>
      </c>
    </row>
    <row r="76" spans="1:6" x14ac:dyDescent="0.25">
      <c r="A76" s="140" t="s">
        <v>549</v>
      </c>
      <c r="B76" s="155" t="s">
        <v>606</v>
      </c>
      <c r="C76" s="119" t="s">
        <v>40</v>
      </c>
      <c r="E76" s="241"/>
    </row>
    <row r="77" spans="1:6" x14ac:dyDescent="0.25">
      <c r="A77" s="140" t="s">
        <v>550</v>
      </c>
      <c r="B77" s="155" t="s">
        <v>606</v>
      </c>
      <c r="C77" s="119" t="s">
        <v>40</v>
      </c>
      <c r="E77" s="241"/>
    </row>
    <row r="78" spans="1:6" x14ac:dyDescent="0.25">
      <c r="A78" s="140" t="s">
        <v>551</v>
      </c>
      <c r="B78" s="155" t="s">
        <v>606</v>
      </c>
      <c r="C78" s="119" t="s">
        <v>40</v>
      </c>
      <c r="E78" s="241"/>
    </row>
    <row r="79" spans="1:6" ht="60" x14ac:dyDescent="0.25">
      <c r="A79" s="140" t="s">
        <v>552</v>
      </c>
      <c r="B79" s="155" t="s">
        <v>606</v>
      </c>
      <c r="C79" s="119" t="s">
        <v>471</v>
      </c>
      <c r="D79" s="153" t="s">
        <v>610</v>
      </c>
      <c r="E79" s="241"/>
      <c r="F79" s="233">
        <v>42411</v>
      </c>
    </row>
    <row r="80" spans="1:6" ht="90" x14ac:dyDescent="0.25">
      <c r="A80" s="140" t="s">
        <v>562</v>
      </c>
      <c r="B80" s="155" t="s">
        <v>605</v>
      </c>
      <c r="C80" s="148" t="s">
        <v>471</v>
      </c>
      <c r="D80" s="153" t="s">
        <v>565</v>
      </c>
      <c r="E80" s="232">
        <v>42380</v>
      </c>
      <c r="F80" s="233"/>
    </row>
    <row r="81" spans="1:6" ht="30" customHeight="1" x14ac:dyDescent="0.25">
      <c r="A81" s="140" t="s">
        <v>566</v>
      </c>
      <c r="B81" s="148" t="s">
        <v>606</v>
      </c>
      <c r="C81" s="148" t="s">
        <v>471</v>
      </c>
      <c r="D81" s="239" t="s">
        <v>568</v>
      </c>
      <c r="E81" s="232"/>
      <c r="F81" s="233"/>
    </row>
    <row r="82" spans="1:6" x14ac:dyDescent="0.25">
      <c r="A82" s="140" t="s">
        <v>567</v>
      </c>
      <c r="B82" s="155" t="s">
        <v>606</v>
      </c>
      <c r="C82" s="148" t="s">
        <v>471</v>
      </c>
      <c r="D82" s="239"/>
      <c r="E82" s="232"/>
      <c r="F82" s="233"/>
    </row>
    <row r="83" spans="1:6" ht="30" x14ac:dyDescent="0.25">
      <c r="A83" s="140" t="s">
        <v>569</v>
      </c>
      <c r="B83" s="150" t="s">
        <v>605</v>
      </c>
      <c r="C83" s="148" t="s">
        <v>40</v>
      </c>
      <c r="E83" s="232"/>
    </row>
    <row r="84" spans="1:6" ht="30" x14ac:dyDescent="0.25">
      <c r="A84" s="140" t="s">
        <v>570</v>
      </c>
      <c r="B84" s="150" t="s">
        <v>605</v>
      </c>
      <c r="C84" s="148" t="s">
        <v>40</v>
      </c>
      <c r="E84" s="232"/>
    </row>
    <row r="85" spans="1:6" x14ac:dyDescent="0.25">
      <c r="A85" s="140" t="s">
        <v>571</v>
      </c>
      <c r="B85" s="150" t="s">
        <v>605</v>
      </c>
      <c r="C85" s="148" t="s">
        <v>40</v>
      </c>
      <c r="E85" s="232"/>
    </row>
    <row r="86" spans="1:6" x14ac:dyDescent="0.25">
      <c r="A86" s="140" t="s">
        <v>572</v>
      </c>
      <c r="B86" s="150" t="s">
        <v>605</v>
      </c>
      <c r="C86" s="148" t="s">
        <v>40</v>
      </c>
      <c r="E86" s="232"/>
    </row>
    <row r="87" spans="1:6" ht="30" x14ac:dyDescent="0.25">
      <c r="A87" s="140" t="s">
        <v>556</v>
      </c>
      <c r="B87" s="150" t="s">
        <v>605</v>
      </c>
      <c r="C87" s="119" t="s">
        <v>40</v>
      </c>
      <c r="D87" s="151" t="s">
        <v>563</v>
      </c>
      <c r="E87" s="230" t="s">
        <v>558</v>
      </c>
      <c r="F87" s="185" t="s">
        <v>558</v>
      </c>
    </row>
    <row r="88" spans="1:6" ht="30" x14ac:dyDescent="0.25">
      <c r="A88" s="140" t="s">
        <v>557</v>
      </c>
      <c r="B88" s="150" t="s">
        <v>605</v>
      </c>
      <c r="C88" s="145" t="s">
        <v>470</v>
      </c>
      <c r="D88" s="149" t="s">
        <v>559</v>
      </c>
      <c r="E88" s="231"/>
    </row>
    <row r="89" spans="1:6" x14ac:dyDescent="0.25">
      <c r="A89" s="140" t="s">
        <v>561</v>
      </c>
      <c r="B89" s="150" t="s">
        <v>606</v>
      </c>
      <c r="C89" s="148" t="s">
        <v>40</v>
      </c>
      <c r="E89" s="232">
        <v>42380</v>
      </c>
    </row>
    <row r="90" spans="1:6" x14ac:dyDescent="0.25">
      <c r="A90" s="140" t="s">
        <v>578</v>
      </c>
      <c r="B90" s="150" t="s">
        <v>605</v>
      </c>
      <c r="C90" s="148" t="s">
        <v>40</v>
      </c>
      <c r="E90" s="232"/>
    </row>
    <row r="91" spans="1:6" x14ac:dyDescent="0.25">
      <c r="A91" s="140" t="s">
        <v>573</v>
      </c>
      <c r="B91" s="155" t="s">
        <v>606</v>
      </c>
      <c r="C91" s="119" t="s">
        <v>40</v>
      </c>
      <c r="E91" s="232"/>
    </row>
    <row r="92" spans="1:6" x14ac:dyDescent="0.25">
      <c r="A92" s="140" t="s">
        <v>581</v>
      </c>
      <c r="B92" s="155" t="s">
        <v>605</v>
      </c>
      <c r="C92" s="148" t="s">
        <v>40</v>
      </c>
      <c r="E92" s="232"/>
    </row>
    <row r="93" spans="1:6" ht="45" x14ac:dyDescent="0.25">
      <c r="A93" s="140" t="s">
        <v>579</v>
      </c>
      <c r="B93" s="150" t="s">
        <v>607</v>
      </c>
      <c r="C93" s="148" t="s">
        <v>471</v>
      </c>
      <c r="D93" s="153" t="s">
        <v>580</v>
      </c>
      <c r="E93" s="232"/>
      <c r="F93" s="184">
        <v>42411</v>
      </c>
    </row>
    <row r="94" spans="1:6" x14ac:dyDescent="0.25">
      <c r="A94" s="140" t="s">
        <v>574</v>
      </c>
      <c r="B94" s="150" t="s">
        <v>606</v>
      </c>
      <c r="C94" s="119" t="s">
        <v>40</v>
      </c>
      <c r="E94" s="232"/>
    </row>
    <row r="95" spans="1:6" x14ac:dyDescent="0.25">
      <c r="A95" s="140" t="s">
        <v>582</v>
      </c>
      <c r="B95" s="155" t="s">
        <v>605</v>
      </c>
      <c r="C95" s="148" t="s">
        <v>40</v>
      </c>
      <c r="E95" s="232"/>
    </row>
    <row r="96" spans="1:6" x14ac:dyDescent="0.25">
      <c r="A96" s="140" t="s">
        <v>575</v>
      </c>
      <c r="B96" s="155" t="s">
        <v>606</v>
      </c>
      <c r="C96" s="119" t="s">
        <v>40</v>
      </c>
      <c r="E96" s="232"/>
    </row>
    <row r="97" spans="1:6" x14ac:dyDescent="0.25">
      <c r="A97" s="140" t="s">
        <v>583</v>
      </c>
      <c r="B97" s="155" t="s">
        <v>605</v>
      </c>
      <c r="C97" s="148" t="s">
        <v>40</v>
      </c>
      <c r="E97" s="232"/>
    </row>
    <row r="98" spans="1:6" x14ac:dyDescent="0.25">
      <c r="A98" s="140" t="s">
        <v>576</v>
      </c>
      <c r="B98" s="155" t="s">
        <v>606</v>
      </c>
      <c r="C98" s="148" t="s">
        <v>40</v>
      </c>
      <c r="E98" s="232"/>
    </row>
    <row r="99" spans="1:6" x14ac:dyDescent="0.25">
      <c r="A99" s="140" t="s">
        <v>584</v>
      </c>
      <c r="B99" s="155" t="s">
        <v>605</v>
      </c>
      <c r="C99" s="148" t="s">
        <v>40</v>
      </c>
      <c r="E99" s="232"/>
    </row>
    <row r="100" spans="1:6" x14ac:dyDescent="0.25">
      <c r="A100" s="140" t="s">
        <v>577</v>
      </c>
      <c r="B100" s="155" t="s">
        <v>606</v>
      </c>
      <c r="C100" s="119" t="s">
        <v>40</v>
      </c>
      <c r="E100" s="232"/>
    </row>
    <row r="101" spans="1:6" x14ac:dyDescent="0.25">
      <c r="A101" s="140" t="s">
        <v>585</v>
      </c>
      <c r="B101" s="155" t="s">
        <v>605</v>
      </c>
      <c r="C101" s="119" t="s">
        <v>40</v>
      </c>
      <c r="E101" s="232"/>
    </row>
    <row r="102" spans="1:6" ht="105" x14ac:dyDescent="0.25">
      <c r="A102" s="140" t="s">
        <v>602</v>
      </c>
      <c r="B102" s="155" t="s">
        <v>605</v>
      </c>
      <c r="C102" s="119" t="s">
        <v>471</v>
      </c>
      <c r="D102" s="153" t="s">
        <v>613</v>
      </c>
      <c r="E102" s="232"/>
      <c r="F102" s="184">
        <v>42411</v>
      </c>
    </row>
    <row r="103" spans="1:6" x14ac:dyDescent="0.25">
      <c r="A103" s="140" t="s">
        <v>586</v>
      </c>
      <c r="B103" s="150" t="s">
        <v>606</v>
      </c>
      <c r="C103" s="119" t="s">
        <v>40</v>
      </c>
      <c r="E103" s="232"/>
    </row>
    <row r="104" spans="1:6" x14ac:dyDescent="0.25">
      <c r="A104" s="140" t="s">
        <v>590</v>
      </c>
      <c r="B104" s="155" t="s">
        <v>605</v>
      </c>
      <c r="C104" s="148" t="s">
        <v>40</v>
      </c>
      <c r="E104" s="232"/>
    </row>
    <row r="105" spans="1:6" x14ac:dyDescent="0.25">
      <c r="A105" s="140" t="s">
        <v>587</v>
      </c>
      <c r="B105" s="155" t="s">
        <v>606</v>
      </c>
      <c r="C105" s="148" t="s">
        <v>40</v>
      </c>
      <c r="E105" s="232"/>
    </row>
    <row r="106" spans="1:6" x14ac:dyDescent="0.25">
      <c r="A106" s="140" t="s">
        <v>589</v>
      </c>
      <c r="B106" s="155" t="s">
        <v>605</v>
      </c>
      <c r="C106" s="148" t="s">
        <v>40</v>
      </c>
      <c r="E106" s="232"/>
    </row>
    <row r="107" spans="1:6" x14ac:dyDescent="0.25">
      <c r="A107" s="140" t="s">
        <v>588</v>
      </c>
      <c r="B107" s="155" t="s">
        <v>606</v>
      </c>
      <c r="C107" s="119" t="s">
        <v>40</v>
      </c>
      <c r="E107" s="232"/>
    </row>
    <row r="108" spans="1:6" x14ac:dyDescent="0.25">
      <c r="A108" s="140" t="s">
        <v>591</v>
      </c>
      <c r="B108" s="155" t="s">
        <v>605</v>
      </c>
      <c r="C108" s="119" t="s">
        <v>40</v>
      </c>
      <c r="E108" s="232"/>
    </row>
    <row r="109" spans="1:6" x14ac:dyDescent="0.25">
      <c r="A109" s="140" t="s">
        <v>593</v>
      </c>
      <c r="B109" s="155" t="s">
        <v>606</v>
      </c>
      <c r="C109" s="148" t="s">
        <v>40</v>
      </c>
      <c r="E109" s="232"/>
    </row>
    <row r="110" spans="1:6" x14ac:dyDescent="0.25">
      <c r="A110" s="140" t="s">
        <v>594</v>
      </c>
      <c r="B110" s="155" t="s">
        <v>605</v>
      </c>
      <c r="C110" s="119" t="s">
        <v>40</v>
      </c>
      <c r="E110" s="232"/>
    </row>
    <row r="111" spans="1:6" x14ac:dyDescent="0.25">
      <c r="A111" s="140" t="s">
        <v>595</v>
      </c>
      <c r="B111" s="155" t="s">
        <v>606</v>
      </c>
      <c r="C111" s="119" t="s">
        <v>40</v>
      </c>
      <c r="E111" s="232"/>
    </row>
    <row r="112" spans="1:6" x14ac:dyDescent="0.25">
      <c r="A112" s="140" t="s">
        <v>596</v>
      </c>
      <c r="B112" s="155" t="s">
        <v>605</v>
      </c>
      <c r="C112" s="119" t="s">
        <v>40</v>
      </c>
      <c r="E112" s="232"/>
    </row>
    <row r="113" spans="1:9" x14ac:dyDescent="0.25">
      <c r="A113" s="140" t="s">
        <v>597</v>
      </c>
      <c r="B113" s="155" t="s">
        <v>606</v>
      </c>
      <c r="C113" s="119" t="s">
        <v>40</v>
      </c>
      <c r="E113" s="232"/>
    </row>
    <row r="114" spans="1:9" x14ac:dyDescent="0.25">
      <c r="A114" s="140" t="s">
        <v>598</v>
      </c>
      <c r="B114" s="155" t="s">
        <v>605</v>
      </c>
      <c r="C114" s="119" t="s">
        <v>40</v>
      </c>
      <c r="E114" s="232"/>
    </row>
    <row r="115" spans="1:9" x14ac:dyDescent="0.25">
      <c r="A115" s="140" t="s">
        <v>599</v>
      </c>
      <c r="B115" s="155" t="s">
        <v>605</v>
      </c>
      <c r="C115" s="119" t="s">
        <v>471</v>
      </c>
      <c r="D115" s="239" t="s">
        <v>625</v>
      </c>
      <c r="E115" s="240"/>
      <c r="F115" s="233">
        <v>42411</v>
      </c>
    </row>
    <row r="116" spans="1:9" ht="81" customHeight="1" x14ac:dyDescent="0.25">
      <c r="A116" s="140" t="s">
        <v>600</v>
      </c>
      <c r="B116" s="155" t="s">
        <v>607</v>
      </c>
      <c r="C116" s="119" t="s">
        <v>471</v>
      </c>
      <c r="D116" s="239"/>
      <c r="E116" s="240"/>
      <c r="F116" s="233"/>
    </row>
    <row r="117" spans="1:9" ht="60" x14ac:dyDescent="0.25">
      <c r="A117" s="140" t="s">
        <v>601</v>
      </c>
      <c r="B117" s="150" t="s">
        <v>605</v>
      </c>
      <c r="C117" s="154" t="s">
        <v>471</v>
      </c>
      <c r="D117" s="175" t="s">
        <v>603</v>
      </c>
      <c r="E117" s="240"/>
      <c r="F117" s="233"/>
    </row>
    <row r="118" spans="1:9" ht="45" x14ac:dyDescent="0.25">
      <c r="A118" s="140" t="s">
        <v>604</v>
      </c>
      <c r="B118" s="154" t="s">
        <v>605</v>
      </c>
      <c r="C118" s="154" t="s">
        <v>471</v>
      </c>
      <c r="D118" s="158" t="s">
        <v>608</v>
      </c>
      <c r="E118" s="240"/>
      <c r="F118" s="233"/>
    </row>
    <row r="119" spans="1:9" ht="30" x14ac:dyDescent="0.25">
      <c r="A119" s="140" t="s">
        <v>611</v>
      </c>
      <c r="B119" s="154" t="s">
        <v>605</v>
      </c>
      <c r="C119" s="154" t="s">
        <v>471</v>
      </c>
      <c r="D119" s="158" t="s">
        <v>612</v>
      </c>
      <c r="E119" s="234">
        <v>42411</v>
      </c>
      <c r="F119" s="237"/>
    </row>
    <row r="120" spans="1:9" ht="45" x14ac:dyDescent="0.25">
      <c r="A120" s="140" t="s">
        <v>630</v>
      </c>
      <c r="B120" s="154" t="s">
        <v>606</v>
      </c>
      <c r="C120" s="119" t="s">
        <v>471</v>
      </c>
      <c r="D120" s="161" t="s">
        <v>626</v>
      </c>
      <c r="E120" s="235"/>
      <c r="F120" s="184">
        <v>42440</v>
      </c>
    </row>
    <row r="121" spans="1:9" ht="45" x14ac:dyDescent="0.25">
      <c r="A121" s="140" t="s">
        <v>627</v>
      </c>
      <c r="B121" s="154" t="s">
        <v>607</v>
      </c>
      <c r="C121" s="119" t="s">
        <v>471</v>
      </c>
      <c r="D121" s="161" t="s">
        <v>628</v>
      </c>
      <c r="E121" s="235"/>
      <c r="F121" s="184">
        <v>42411</v>
      </c>
    </row>
    <row r="122" spans="1:9" ht="45" x14ac:dyDescent="0.25">
      <c r="A122" s="140" t="s">
        <v>629</v>
      </c>
      <c r="B122" s="154" t="s">
        <v>607</v>
      </c>
      <c r="C122" s="154" t="s">
        <v>471</v>
      </c>
      <c r="D122" s="161" t="s">
        <v>631</v>
      </c>
      <c r="E122" s="235"/>
      <c r="F122" s="182">
        <v>42440</v>
      </c>
    </row>
    <row r="123" spans="1:9" x14ac:dyDescent="0.25">
      <c r="A123" s="140" t="s">
        <v>632</v>
      </c>
      <c r="B123" s="155" t="s">
        <v>606</v>
      </c>
      <c r="C123" s="119" t="s">
        <v>40</v>
      </c>
      <c r="E123" s="235"/>
      <c r="I123" s="178"/>
    </row>
    <row r="124" spans="1:9" x14ac:dyDescent="0.25">
      <c r="A124" s="140" t="s">
        <v>633</v>
      </c>
      <c r="B124" s="119" t="s">
        <v>605</v>
      </c>
      <c r="C124" s="155" t="s">
        <v>40</v>
      </c>
      <c r="E124" s="235"/>
    </row>
    <row r="125" spans="1:9" x14ac:dyDescent="0.25">
      <c r="A125" s="140" t="s">
        <v>634</v>
      </c>
      <c r="B125" s="155" t="s">
        <v>606</v>
      </c>
      <c r="C125" s="119" t="s">
        <v>40</v>
      </c>
      <c r="E125" s="235"/>
    </row>
    <row r="126" spans="1:9" x14ac:dyDescent="0.25">
      <c r="A126" s="140" t="s">
        <v>635</v>
      </c>
      <c r="B126" s="155" t="s">
        <v>605</v>
      </c>
      <c r="C126" s="119" t="s">
        <v>40</v>
      </c>
      <c r="E126" s="235"/>
    </row>
    <row r="127" spans="1:9" ht="15" customHeight="1" x14ac:dyDescent="0.25">
      <c r="A127" s="140" t="s">
        <v>636</v>
      </c>
      <c r="B127" s="155" t="s">
        <v>606</v>
      </c>
      <c r="C127" s="155" t="s">
        <v>471</v>
      </c>
      <c r="D127" s="239" t="s">
        <v>660</v>
      </c>
      <c r="E127" s="235"/>
      <c r="F127" s="233">
        <v>42440</v>
      </c>
    </row>
    <row r="128" spans="1:9" ht="15" customHeight="1" x14ac:dyDescent="0.25">
      <c r="A128" s="140" t="s">
        <v>637</v>
      </c>
      <c r="B128" s="155" t="s">
        <v>605</v>
      </c>
      <c r="C128" s="160" t="s">
        <v>471</v>
      </c>
      <c r="D128" s="239"/>
      <c r="E128" s="235"/>
      <c r="F128" s="233"/>
    </row>
    <row r="129" spans="1:7" ht="31.5" customHeight="1" x14ac:dyDescent="0.25">
      <c r="A129" s="140" t="s">
        <v>639</v>
      </c>
      <c r="B129" s="155" t="s">
        <v>606</v>
      </c>
      <c r="C129" s="160" t="s">
        <v>471</v>
      </c>
      <c r="D129" s="239"/>
      <c r="E129" s="235"/>
      <c r="F129" s="233"/>
    </row>
    <row r="130" spans="1:7" ht="45" customHeight="1" x14ac:dyDescent="0.25">
      <c r="A130" s="140" t="s">
        <v>638</v>
      </c>
      <c r="B130" s="155" t="s">
        <v>605</v>
      </c>
      <c r="C130" s="160" t="s">
        <v>471</v>
      </c>
      <c r="D130" s="239"/>
      <c r="E130" s="235"/>
      <c r="F130" s="233"/>
    </row>
    <row r="131" spans="1:7" x14ac:dyDescent="0.25">
      <c r="A131" s="140" t="s">
        <v>640</v>
      </c>
      <c r="B131" s="155" t="s">
        <v>606</v>
      </c>
      <c r="C131" s="160" t="s">
        <v>471</v>
      </c>
      <c r="D131" s="239"/>
      <c r="E131" s="235"/>
      <c r="F131" s="233"/>
    </row>
    <row r="132" spans="1:7" x14ac:dyDescent="0.25">
      <c r="A132" s="140" t="s">
        <v>641</v>
      </c>
      <c r="B132" s="155" t="s">
        <v>605</v>
      </c>
      <c r="C132" s="155" t="s">
        <v>40</v>
      </c>
      <c r="E132" s="235"/>
    </row>
    <row r="133" spans="1:7" x14ac:dyDescent="0.25">
      <c r="A133" s="140" t="s">
        <v>642</v>
      </c>
      <c r="B133" s="155" t="s">
        <v>606</v>
      </c>
      <c r="C133" s="155" t="s">
        <v>40</v>
      </c>
      <c r="E133" s="235"/>
    </row>
    <row r="134" spans="1:7" x14ac:dyDescent="0.25">
      <c r="A134" s="140" t="s">
        <v>646</v>
      </c>
      <c r="B134" s="155" t="s">
        <v>605</v>
      </c>
      <c r="C134" s="155" t="s">
        <v>471</v>
      </c>
      <c r="D134" s="239" t="s">
        <v>648</v>
      </c>
      <c r="E134" s="235"/>
      <c r="F134" s="233">
        <v>42440</v>
      </c>
    </row>
    <row r="135" spans="1:7" ht="31.5" customHeight="1" x14ac:dyDescent="0.25">
      <c r="A135" s="140" t="s">
        <v>647</v>
      </c>
      <c r="B135" s="155" t="s">
        <v>606</v>
      </c>
      <c r="C135" s="160" t="s">
        <v>471</v>
      </c>
      <c r="D135" s="239"/>
      <c r="E135" s="235"/>
      <c r="F135" s="233"/>
    </row>
    <row r="136" spans="1:7" ht="30" x14ac:dyDescent="0.25">
      <c r="A136" s="140" t="s">
        <v>645</v>
      </c>
      <c r="B136" s="119" t="s">
        <v>605</v>
      </c>
      <c r="C136" s="119" t="s">
        <v>40</v>
      </c>
      <c r="E136" s="235"/>
    </row>
    <row r="137" spans="1:7" x14ac:dyDescent="0.25">
      <c r="A137" s="140" t="s">
        <v>643</v>
      </c>
      <c r="B137" s="155" t="s">
        <v>605</v>
      </c>
      <c r="C137" s="119" t="s">
        <v>40</v>
      </c>
      <c r="E137" s="235"/>
    </row>
    <row r="138" spans="1:7" ht="30" x14ac:dyDescent="0.25">
      <c r="A138" s="140" t="s">
        <v>649</v>
      </c>
      <c r="B138" s="155" t="s">
        <v>605</v>
      </c>
      <c r="C138" s="119" t="s">
        <v>40</v>
      </c>
      <c r="E138" s="235"/>
    </row>
    <row r="139" spans="1:7" x14ac:dyDescent="0.25">
      <c r="A139" s="140" t="s">
        <v>650</v>
      </c>
      <c r="B139" s="119" t="s">
        <v>606</v>
      </c>
      <c r="C139" s="119" t="s">
        <v>40</v>
      </c>
      <c r="E139" s="235"/>
      <c r="F139" s="25"/>
      <c r="G139" s="95"/>
    </row>
    <row r="140" spans="1:7" x14ac:dyDescent="0.25">
      <c r="A140" s="140" t="s">
        <v>651</v>
      </c>
      <c r="B140" s="119" t="s">
        <v>605</v>
      </c>
      <c r="C140" s="155" t="s">
        <v>40</v>
      </c>
      <c r="E140" s="235"/>
    </row>
    <row r="141" spans="1:7" ht="45" x14ac:dyDescent="0.25">
      <c r="A141" s="140" t="s">
        <v>652</v>
      </c>
      <c r="B141" s="155" t="s">
        <v>605</v>
      </c>
      <c r="C141" s="119" t="s">
        <v>471</v>
      </c>
      <c r="D141" s="158" t="s">
        <v>653</v>
      </c>
      <c r="E141" s="235"/>
      <c r="F141" s="242">
        <v>42411</v>
      </c>
    </row>
    <row r="142" spans="1:7" ht="45" x14ac:dyDescent="0.25">
      <c r="A142" s="140" t="s">
        <v>654</v>
      </c>
      <c r="B142" s="155" t="s">
        <v>605</v>
      </c>
      <c r="C142" s="119" t="s">
        <v>471</v>
      </c>
      <c r="D142" s="158" t="s">
        <v>655</v>
      </c>
      <c r="E142" s="236"/>
      <c r="F142" s="243"/>
    </row>
    <row r="143" spans="1:7" ht="75" x14ac:dyDescent="0.25">
      <c r="A143" s="140" t="s">
        <v>661</v>
      </c>
      <c r="B143" s="119" t="s">
        <v>606</v>
      </c>
      <c r="C143" s="119" t="s">
        <v>471</v>
      </c>
      <c r="D143" s="175" t="s">
        <v>662</v>
      </c>
      <c r="E143" s="232">
        <v>42440</v>
      </c>
      <c r="F143" s="182">
        <v>42562</v>
      </c>
    </row>
    <row r="144" spans="1:7" ht="120" x14ac:dyDescent="0.25">
      <c r="A144" s="140" t="s">
        <v>664</v>
      </c>
      <c r="B144" s="119" t="s">
        <v>607</v>
      </c>
      <c r="C144" s="119" t="s">
        <v>40</v>
      </c>
      <c r="D144" s="151" t="s">
        <v>663</v>
      </c>
      <c r="E144" s="232"/>
    </row>
    <row r="145" spans="1:6" ht="105" x14ac:dyDescent="0.25">
      <c r="A145" s="140" t="s">
        <v>667</v>
      </c>
      <c r="B145" s="163" t="s">
        <v>607</v>
      </c>
      <c r="C145" s="163" t="s">
        <v>471</v>
      </c>
      <c r="D145" s="164" t="s">
        <v>668</v>
      </c>
      <c r="E145" s="232"/>
      <c r="F145" s="182">
        <v>42440</v>
      </c>
    </row>
    <row r="146" spans="1:6" ht="30" x14ac:dyDescent="0.25">
      <c r="A146" s="140" t="s">
        <v>665</v>
      </c>
      <c r="B146" s="119" t="s">
        <v>606</v>
      </c>
      <c r="C146" s="119" t="s">
        <v>471</v>
      </c>
      <c r="D146" s="175" t="s">
        <v>666</v>
      </c>
      <c r="E146" s="232"/>
      <c r="F146" s="182">
        <v>42562</v>
      </c>
    </row>
    <row r="147" spans="1:6" ht="30" x14ac:dyDescent="0.25">
      <c r="A147" s="140" t="s">
        <v>669</v>
      </c>
      <c r="B147" s="119" t="s">
        <v>605</v>
      </c>
      <c r="C147" s="119" t="s">
        <v>40</v>
      </c>
      <c r="E147" s="232">
        <v>42471</v>
      </c>
    </row>
    <row r="148" spans="1:6" x14ac:dyDescent="0.25">
      <c r="A148" s="140" t="s">
        <v>670</v>
      </c>
      <c r="B148" s="119" t="s">
        <v>605</v>
      </c>
      <c r="C148" s="119" t="s">
        <v>40</v>
      </c>
      <c r="E148" s="232"/>
    </row>
    <row r="149" spans="1:6" ht="30" x14ac:dyDescent="0.25">
      <c r="A149" s="140" t="s">
        <v>672</v>
      </c>
      <c r="B149" s="119" t="s">
        <v>607</v>
      </c>
      <c r="C149" s="119" t="s">
        <v>471</v>
      </c>
      <c r="D149" s="174" t="s">
        <v>671</v>
      </c>
      <c r="E149" s="232">
        <v>42501</v>
      </c>
      <c r="F149" s="182">
        <v>42654</v>
      </c>
    </row>
    <row r="150" spans="1:6" x14ac:dyDescent="0.25">
      <c r="A150" s="140" t="s">
        <v>674</v>
      </c>
      <c r="B150" s="119" t="s">
        <v>606</v>
      </c>
      <c r="C150" s="119" t="s">
        <v>40</v>
      </c>
      <c r="E150" s="232"/>
    </row>
    <row r="151" spans="1:6" x14ac:dyDescent="0.25">
      <c r="A151" s="140" t="s">
        <v>673</v>
      </c>
      <c r="B151" s="165" t="s">
        <v>606</v>
      </c>
      <c r="C151" s="165" t="s">
        <v>40</v>
      </c>
      <c r="E151" s="232"/>
    </row>
    <row r="152" spans="1:6" x14ac:dyDescent="0.25">
      <c r="A152" s="140" t="s">
        <v>675</v>
      </c>
      <c r="B152" s="165" t="s">
        <v>606</v>
      </c>
      <c r="C152" s="165" t="s">
        <v>40</v>
      </c>
      <c r="E152" s="232"/>
    </row>
    <row r="153" spans="1:6" x14ac:dyDescent="0.25">
      <c r="A153" s="140" t="s">
        <v>677</v>
      </c>
      <c r="B153" s="165" t="s">
        <v>606</v>
      </c>
      <c r="C153" s="119" t="s">
        <v>40</v>
      </c>
      <c r="E153" s="232"/>
    </row>
    <row r="154" spans="1:6" x14ac:dyDescent="0.25">
      <c r="A154" s="140" t="s">
        <v>678</v>
      </c>
      <c r="B154" s="165" t="s">
        <v>606</v>
      </c>
      <c r="C154" s="165" t="s">
        <v>40</v>
      </c>
      <c r="E154" s="232"/>
    </row>
    <row r="155" spans="1:6" x14ac:dyDescent="0.25">
      <c r="A155" s="140" t="s">
        <v>676</v>
      </c>
      <c r="B155" s="165" t="s">
        <v>606</v>
      </c>
      <c r="C155" s="165" t="s">
        <v>40</v>
      </c>
      <c r="E155" s="232"/>
    </row>
    <row r="156" spans="1:6" x14ac:dyDescent="0.25">
      <c r="A156" s="140" t="s">
        <v>679</v>
      </c>
      <c r="B156" s="165" t="s">
        <v>606</v>
      </c>
      <c r="C156" s="165" t="s">
        <v>40</v>
      </c>
      <c r="E156" s="232"/>
    </row>
    <row r="157" spans="1:6" x14ac:dyDescent="0.25">
      <c r="A157" s="140" t="s">
        <v>680</v>
      </c>
      <c r="B157" s="165" t="s">
        <v>606</v>
      </c>
      <c r="C157" s="165" t="s">
        <v>40</v>
      </c>
      <c r="E157" s="232"/>
    </row>
    <row r="158" spans="1:6" x14ac:dyDescent="0.25">
      <c r="A158" s="140" t="s">
        <v>681</v>
      </c>
      <c r="B158" s="165" t="s">
        <v>606</v>
      </c>
      <c r="C158" s="165" t="s">
        <v>40</v>
      </c>
      <c r="E158" s="232"/>
    </row>
    <row r="159" spans="1:6" x14ac:dyDescent="0.25">
      <c r="A159" s="140" t="s">
        <v>682</v>
      </c>
      <c r="B159" s="165" t="s">
        <v>606</v>
      </c>
      <c r="C159" s="165" t="s">
        <v>40</v>
      </c>
      <c r="E159" s="232"/>
    </row>
    <row r="160" spans="1:6" x14ac:dyDescent="0.25">
      <c r="A160" s="140" t="s">
        <v>683</v>
      </c>
      <c r="B160" s="165" t="s">
        <v>606</v>
      </c>
      <c r="C160" s="165" t="s">
        <v>40</v>
      </c>
      <c r="E160" s="232"/>
    </row>
    <row r="161" spans="1:6" x14ac:dyDescent="0.25">
      <c r="A161" s="140" t="s">
        <v>684</v>
      </c>
      <c r="B161" s="165" t="s">
        <v>606</v>
      </c>
      <c r="C161" s="165" t="s">
        <v>40</v>
      </c>
      <c r="E161" s="232"/>
    </row>
    <row r="162" spans="1:6" x14ac:dyDescent="0.25">
      <c r="A162" s="140" t="s">
        <v>685</v>
      </c>
      <c r="B162" s="165" t="s">
        <v>606</v>
      </c>
      <c r="C162" s="165" t="s">
        <v>40</v>
      </c>
      <c r="E162" s="232"/>
    </row>
    <row r="163" spans="1:6" x14ac:dyDescent="0.25">
      <c r="A163" s="140" t="s">
        <v>686</v>
      </c>
      <c r="B163" s="165" t="s">
        <v>606</v>
      </c>
      <c r="C163" s="165" t="s">
        <v>40</v>
      </c>
      <c r="E163" s="232"/>
    </row>
    <row r="164" spans="1:6" x14ac:dyDescent="0.25">
      <c r="A164" s="140" t="s">
        <v>687</v>
      </c>
      <c r="B164" s="165" t="s">
        <v>606</v>
      </c>
      <c r="C164" s="165" t="s">
        <v>40</v>
      </c>
      <c r="E164" s="232"/>
    </row>
    <row r="165" spans="1:6" x14ac:dyDescent="0.25">
      <c r="A165" s="140" t="s">
        <v>688</v>
      </c>
      <c r="B165" s="165" t="s">
        <v>606</v>
      </c>
      <c r="C165" s="165" t="s">
        <v>40</v>
      </c>
      <c r="E165" s="232"/>
    </row>
    <row r="166" spans="1:6" x14ac:dyDescent="0.25">
      <c r="A166" s="140" t="s">
        <v>689</v>
      </c>
      <c r="B166" s="165" t="s">
        <v>606</v>
      </c>
      <c r="C166" s="165" t="s">
        <v>40</v>
      </c>
      <c r="E166" s="232"/>
    </row>
    <row r="167" spans="1:6" x14ac:dyDescent="0.25">
      <c r="A167" s="140" t="s">
        <v>690</v>
      </c>
      <c r="B167" s="165" t="s">
        <v>606</v>
      </c>
      <c r="C167" s="165" t="s">
        <v>40</v>
      </c>
      <c r="E167" s="232"/>
    </row>
    <row r="168" spans="1:6" ht="45" x14ac:dyDescent="0.25">
      <c r="A168" s="140" t="s">
        <v>692</v>
      </c>
      <c r="B168" s="119" t="s">
        <v>605</v>
      </c>
      <c r="C168" s="119" t="s">
        <v>471</v>
      </c>
      <c r="D168" s="173" t="s">
        <v>691</v>
      </c>
      <c r="E168" s="234">
        <v>42562</v>
      </c>
      <c r="F168" s="182">
        <v>42624</v>
      </c>
    </row>
    <row r="169" spans="1:6" ht="45" x14ac:dyDescent="0.25">
      <c r="A169" s="140" t="s">
        <v>693</v>
      </c>
      <c r="B169" s="119" t="s">
        <v>607</v>
      </c>
      <c r="C169" s="119" t="s">
        <v>471</v>
      </c>
      <c r="D169" s="167" t="s">
        <v>694</v>
      </c>
      <c r="E169" s="235"/>
      <c r="F169" s="237">
        <v>42562</v>
      </c>
    </row>
    <row r="170" spans="1:6" ht="105" x14ac:dyDescent="0.25">
      <c r="A170" s="140" t="s">
        <v>695</v>
      </c>
      <c r="B170" s="166" t="s">
        <v>605</v>
      </c>
      <c r="C170" s="119" t="s">
        <v>471</v>
      </c>
      <c r="D170" s="168" t="s">
        <v>696</v>
      </c>
      <c r="E170" s="235"/>
      <c r="F170" s="237"/>
    </row>
    <row r="171" spans="1:6" ht="75" x14ac:dyDescent="0.25">
      <c r="A171" s="140" t="s">
        <v>695</v>
      </c>
      <c r="B171" s="119" t="s">
        <v>605</v>
      </c>
      <c r="C171" s="119" t="s">
        <v>471</v>
      </c>
      <c r="D171" s="171" t="s">
        <v>697</v>
      </c>
      <c r="E171" s="235"/>
      <c r="F171" s="182">
        <v>42624</v>
      </c>
    </row>
    <row r="172" spans="1:6" ht="17.25" customHeight="1" x14ac:dyDescent="0.25">
      <c r="A172" s="140" t="s">
        <v>698</v>
      </c>
      <c r="B172" s="119" t="s">
        <v>606</v>
      </c>
      <c r="C172" s="119" t="s">
        <v>471</v>
      </c>
      <c r="D172" s="238" t="s">
        <v>702</v>
      </c>
      <c r="E172" s="235"/>
      <c r="F172" s="233">
        <v>42624</v>
      </c>
    </row>
    <row r="173" spans="1:6" ht="17.25" customHeight="1" x14ac:dyDescent="0.25">
      <c r="A173" s="140" t="s">
        <v>701</v>
      </c>
      <c r="B173" s="169" t="s">
        <v>606</v>
      </c>
      <c r="C173" s="169" t="s">
        <v>471</v>
      </c>
      <c r="D173" s="238"/>
      <c r="E173" s="235"/>
      <c r="F173" s="233"/>
    </row>
    <row r="174" spans="1:6" ht="17.25" customHeight="1" x14ac:dyDescent="0.25">
      <c r="A174" s="140" t="s">
        <v>705</v>
      </c>
      <c r="B174" s="170" t="s">
        <v>606</v>
      </c>
      <c r="C174" s="170" t="s">
        <v>471</v>
      </c>
      <c r="D174" s="238"/>
      <c r="E174" s="235"/>
      <c r="F174" s="233"/>
    </row>
    <row r="175" spans="1:6" ht="45" x14ac:dyDescent="0.25">
      <c r="A175" s="140" t="s">
        <v>699</v>
      </c>
      <c r="B175" s="119" t="s">
        <v>607</v>
      </c>
      <c r="C175" s="119" t="s">
        <v>471</v>
      </c>
      <c r="D175" s="186" t="s">
        <v>700</v>
      </c>
      <c r="E175" s="235"/>
      <c r="F175" s="233">
        <v>42593</v>
      </c>
    </row>
    <row r="176" spans="1:6" ht="45" x14ac:dyDescent="0.25">
      <c r="A176" s="140" t="s">
        <v>703</v>
      </c>
      <c r="B176" s="119" t="s">
        <v>607</v>
      </c>
      <c r="C176" s="119" t="s">
        <v>471</v>
      </c>
      <c r="D176" s="186" t="s">
        <v>704</v>
      </c>
      <c r="E176" s="236"/>
      <c r="F176" s="233"/>
    </row>
    <row r="177" spans="1:6" ht="75" x14ac:dyDescent="0.25">
      <c r="A177" s="140" t="s">
        <v>706</v>
      </c>
      <c r="B177" s="119" t="s">
        <v>606</v>
      </c>
      <c r="C177" s="119" t="s">
        <v>470</v>
      </c>
      <c r="D177" s="151" t="s">
        <v>707</v>
      </c>
      <c r="E177" s="232">
        <v>42624</v>
      </c>
    </row>
    <row r="178" spans="1:6" ht="45" x14ac:dyDescent="0.25">
      <c r="A178" s="140" t="s">
        <v>708</v>
      </c>
      <c r="B178" s="170" t="s">
        <v>606</v>
      </c>
      <c r="C178" s="170" t="s">
        <v>471</v>
      </c>
      <c r="D178" s="177" t="s">
        <v>709</v>
      </c>
      <c r="E178" s="232"/>
      <c r="F178" s="182">
        <v>42654</v>
      </c>
    </row>
    <row r="179" spans="1:6" x14ac:dyDescent="0.25">
      <c r="A179" s="140" t="s">
        <v>710</v>
      </c>
      <c r="B179" s="119" t="s">
        <v>607</v>
      </c>
      <c r="C179" s="119" t="s">
        <v>40</v>
      </c>
      <c r="E179" s="232"/>
    </row>
    <row r="180" spans="1:6" ht="30" customHeight="1" x14ac:dyDescent="0.25">
      <c r="A180" s="140" t="s">
        <v>711</v>
      </c>
      <c r="B180" s="119" t="s">
        <v>607</v>
      </c>
      <c r="C180" s="119" t="s">
        <v>471</v>
      </c>
      <c r="D180" s="239" t="s">
        <v>712</v>
      </c>
      <c r="E180" s="232"/>
      <c r="F180" s="233">
        <v>42654</v>
      </c>
    </row>
    <row r="181" spans="1:6" x14ac:dyDescent="0.25">
      <c r="A181" s="140" t="s">
        <v>713</v>
      </c>
      <c r="B181" s="119" t="s">
        <v>607</v>
      </c>
      <c r="C181" s="119" t="s">
        <v>471</v>
      </c>
      <c r="D181" s="239"/>
      <c r="E181" s="232"/>
      <c r="F181" s="233"/>
    </row>
    <row r="182" spans="1:6" ht="60" x14ac:dyDescent="0.25">
      <c r="A182" s="140" t="s">
        <v>715</v>
      </c>
      <c r="B182" s="119" t="s">
        <v>607</v>
      </c>
      <c r="C182" s="119" t="s">
        <v>471</v>
      </c>
      <c r="D182" s="183" t="s">
        <v>714</v>
      </c>
      <c r="E182" s="232">
        <v>42654</v>
      </c>
      <c r="F182" s="182">
        <v>42715</v>
      </c>
    </row>
    <row r="183" spans="1:6" ht="45" x14ac:dyDescent="0.25">
      <c r="A183" s="140" t="s">
        <v>706</v>
      </c>
      <c r="B183" s="119" t="s">
        <v>606</v>
      </c>
      <c r="C183" s="119" t="s">
        <v>470</v>
      </c>
      <c r="D183" s="151" t="s">
        <v>716</v>
      </c>
      <c r="E183" s="232"/>
    </row>
    <row r="184" spans="1:6" x14ac:dyDescent="0.25">
      <c r="A184" s="140" t="s">
        <v>717</v>
      </c>
      <c r="B184" s="119" t="s">
        <v>606</v>
      </c>
      <c r="C184" s="119" t="s">
        <v>40</v>
      </c>
      <c r="E184" s="232"/>
    </row>
    <row r="185" spans="1:6" ht="30" x14ac:dyDescent="0.25">
      <c r="A185" s="140" t="s">
        <v>718</v>
      </c>
      <c r="B185" s="176" t="s">
        <v>606</v>
      </c>
      <c r="C185" s="176" t="s">
        <v>471</v>
      </c>
      <c r="D185" s="183" t="s">
        <v>739</v>
      </c>
      <c r="E185" s="232"/>
      <c r="F185" s="233">
        <v>42685</v>
      </c>
    </row>
    <row r="186" spans="1:6" ht="30" x14ac:dyDescent="0.25">
      <c r="A186" s="140" t="s">
        <v>719</v>
      </c>
      <c r="B186" s="176" t="s">
        <v>606</v>
      </c>
      <c r="C186" s="181" t="s">
        <v>471</v>
      </c>
      <c r="D186" s="183" t="s">
        <v>746</v>
      </c>
      <c r="E186" s="232"/>
      <c r="F186" s="233"/>
    </row>
    <row r="187" spans="1:6" ht="30" x14ac:dyDescent="0.25">
      <c r="A187" s="140" t="s">
        <v>720</v>
      </c>
      <c r="B187" s="176" t="s">
        <v>606</v>
      </c>
      <c r="C187" s="181" t="s">
        <v>471</v>
      </c>
      <c r="D187" s="183" t="s">
        <v>740</v>
      </c>
      <c r="E187" s="232">
        <v>42685</v>
      </c>
      <c r="F187" s="233"/>
    </row>
    <row r="188" spans="1:6" ht="30" x14ac:dyDescent="0.25">
      <c r="A188" s="140" t="s">
        <v>721</v>
      </c>
      <c r="B188" s="176" t="s">
        <v>606</v>
      </c>
      <c r="C188" s="181" t="s">
        <v>471</v>
      </c>
      <c r="D188" s="183" t="s">
        <v>741</v>
      </c>
      <c r="E188" s="232"/>
      <c r="F188" s="233"/>
    </row>
    <row r="189" spans="1:6" x14ac:dyDescent="0.25">
      <c r="A189" s="140" t="s">
        <v>722</v>
      </c>
      <c r="B189" s="176" t="s">
        <v>606</v>
      </c>
      <c r="C189" s="176" t="s">
        <v>40</v>
      </c>
      <c r="E189" s="232"/>
    </row>
    <row r="190" spans="1:6" ht="30" x14ac:dyDescent="0.25">
      <c r="A190" s="140" t="s">
        <v>723</v>
      </c>
      <c r="B190" s="176" t="s">
        <v>606</v>
      </c>
      <c r="C190" s="176" t="s">
        <v>471</v>
      </c>
      <c r="D190" s="183" t="s">
        <v>742</v>
      </c>
      <c r="E190" s="232"/>
      <c r="F190" s="233">
        <v>42685</v>
      </c>
    </row>
    <row r="191" spans="1:6" ht="30" x14ac:dyDescent="0.25">
      <c r="A191" s="140" t="s">
        <v>724</v>
      </c>
      <c r="B191" s="176" t="s">
        <v>606</v>
      </c>
      <c r="C191" s="181" t="s">
        <v>471</v>
      </c>
      <c r="D191" s="183" t="s">
        <v>743</v>
      </c>
      <c r="E191" s="232"/>
      <c r="F191" s="233"/>
    </row>
    <row r="192" spans="1:6" x14ac:dyDescent="0.25">
      <c r="A192" s="140" t="s">
        <v>725</v>
      </c>
      <c r="B192" s="176" t="s">
        <v>606</v>
      </c>
      <c r="C192" s="176" t="s">
        <v>40</v>
      </c>
      <c r="E192" s="232"/>
    </row>
    <row r="193" spans="1:6" ht="30" x14ac:dyDescent="0.25">
      <c r="A193" s="140" t="s">
        <v>726</v>
      </c>
      <c r="B193" s="176" t="s">
        <v>606</v>
      </c>
      <c r="C193" s="176" t="s">
        <v>471</v>
      </c>
      <c r="D193" s="183" t="s">
        <v>744</v>
      </c>
      <c r="E193" s="232"/>
      <c r="F193" s="233">
        <v>42715</v>
      </c>
    </row>
    <row r="194" spans="1:6" ht="30" x14ac:dyDescent="0.25">
      <c r="A194" s="140" t="s">
        <v>727</v>
      </c>
      <c r="B194" s="176" t="s">
        <v>606</v>
      </c>
      <c r="C194" s="176" t="s">
        <v>471</v>
      </c>
      <c r="D194" s="183" t="s">
        <v>738</v>
      </c>
      <c r="E194" s="232"/>
      <c r="F194" s="233"/>
    </row>
    <row r="195" spans="1:6" ht="30" x14ac:dyDescent="0.25">
      <c r="A195" s="140" t="s">
        <v>728</v>
      </c>
      <c r="B195" s="176" t="s">
        <v>606</v>
      </c>
      <c r="C195" s="176" t="s">
        <v>471</v>
      </c>
      <c r="D195" s="183" t="s">
        <v>744</v>
      </c>
      <c r="E195" s="232"/>
      <c r="F195" s="233"/>
    </row>
    <row r="196" spans="1:6" x14ac:dyDescent="0.25">
      <c r="A196" s="140" t="s">
        <v>729</v>
      </c>
      <c r="B196" s="176" t="s">
        <v>606</v>
      </c>
      <c r="C196" s="176" t="s">
        <v>40</v>
      </c>
      <c r="E196" s="232"/>
    </row>
    <row r="197" spans="1:6" ht="30" x14ac:dyDescent="0.25">
      <c r="A197" s="140" t="s">
        <v>730</v>
      </c>
      <c r="B197" s="176" t="s">
        <v>606</v>
      </c>
      <c r="C197" s="176" t="s">
        <v>471</v>
      </c>
      <c r="D197" s="183" t="s">
        <v>745</v>
      </c>
      <c r="E197" s="232"/>
      <c r="F197" s="233">
        <v>42715</v>
      </c>
    </row>
    <row r="198" spans="1:6" ht="30" x14ac:dyDescent="0.25">
      <c r="A198" s="140" t="s">
        <v>731</v>
      </c>
      <c r="B198" s="176" t="s">
        <v>606</v>
      </c>
      <c r="C198" s="181" t="s">
        <v>471</v>
      </c>
      <c r="D198" s="183" t="s">
        <v>742</v>
      </c>
      <c r="E198" s="232"/>
      <c r="F198" s="233"/>
    </row>
    <row r="199" spans="1:6" x14ac:dyDescent="0.25">
      <c r="A199" s="140" t="s">
        <v>732</v>
      </c>
      <c r="B199" s="176" t="s">
        <v>606</v>
      </c>
      <c r="C199" s="179" t="s">
        <v>40</v>
      </c>
      <c r="E199" s="232">
        <v>42685</v>
      </c>
    </row>
    <row r="200" spans="1:6" x14ac:dyDescent="0.25">
      <c r="A200" s="140" t="s">
        <v>733</v>
      </c>
      <c r="B200" s="176" t="s">
        <v>606</v>
      </c>
      <c r="C200" s="179" t="s">
        <v>40</v>
      </c>
      <c r="E200" s="232"/>
    </row>
    <row r="201" spans="1:6" x14ac:dyDescent="0.25">
      <c r="A201" s="140" t="s">
        <v>734</v>
      </c>
      <c r="B201" s="176" t="s">
        <v>606</v>
      </c>
      <c r="C201" s="180" t="s">
        <v>40</v>
      </c>
      <c r="E201" s="232"/>
    </row>
    <row r="202" spans="1:6" x14ac:dyDescent="0.25">
      <c r="A202" s="140" t="s">
        <v>735</v>
      </c>
      <c r="B202" s="176" t="s">
        <v>606</v>
      </c>
      <c r="C202" s="180" t="s">
        <v>40</v>
      </c>
      <c r="E202" s="232">
        <v>42715</v>
      </c>
    </row>
    <row r="203" spans="1:6" x14ac:dyDescent="0.25">
      <c r="A203" s="140" t="s">
        <v>736</v>
      </c>
      <c r="B203" s="176" t="s">
        <v>606</v>
      </c>
      <c r="C203" s="176" t="s">
        <v>40</v>
      </c>
      <c r="E203" s="232"/>
    </row>
    <row r="204" spans="1:6" ht="30" x14ac:dyDescent="0.25">
      <c r="A204" s="140" t="s">
        <v>737</v>
      </c>
      <c r="B204" s="176" t="s">
        <v>606</v>
      </c>
      <c r="C204" s="176" t="s">
        <v>471</v>
      </c>
      <c r="D204" s="183" t="s">
        <v>747</v>
      </c>
      <c r="E204" s="232"/>
      <c r="F204" s="182">
        <v>42715</v>
      </c>
    </row>
    <row r="205" spans="1:6" x14ac:dyDescent="0.25">
      <c r="A205" s="140" t="s">
        <v>883</v>
      </c>
      <c r="B205" s="187" t="s">
        <v>607</v>
      </c>
      <c r="C205" s="187" t="s">
        <v>40</v>
      </c>
      <c r="E205" s="241" t="s">
        <v>882</v>
      </c>
    </row>
    <row r="206" spans="1:6" ht="30" x14ac:dyDescent="0.25">
      <c r="A206" s="140" t="s">
        <v>888</v>
      </c>
      <c r="B206" s="119" t="s">
        <v>607</v>
      </c>
      <c r="C206" s="119" t="s">
        <v>471</v>
      </c>
      <c r="D206" s="188" t="s">
        <v>897</v>
      </c>
      <c r="E206" s="241"/>
      <c r="F206" s="248" t="s">
        <v>882</v>
      </c>
    </row>
    <row r="207" spans="1:6" ht="45" x14ac:dyDescent="0.25">
      <c r="A207" s="140" t="s">
        <v>887</v>
      </c>
      <c r="B207" s="187" t="s">
        <v>607</v>
      </c>
      <c r="C207" s="187" t="s">
        <v>471</v>
      </c>
      <c r="D207" s="188" t="s">
        <v>896</v>
      </c>
      <c r="E207" s="241"/>
      <c r="F207" s="248"/>
    </row>
    <row r="208" spans="1:6" x14ac:dyDescent="0.25">
      <c r="A208" s="140" t="s">
        <v>886</v>
      </c>
      <c r="B208" s="187" t="s">
        <v>607</v>
      </c>
      <c r="C208" s="187" t="s">
        <v>40</v>
      </c>
      <c r="E208" s="241"/>
    </row>
    <row r="209" spans="1:6" ht="45" x14ac:dyDescent="0.25">
      <c r="A209" s="140" t="s">
        <v>885</v>
      </c>
      <c r="B209" s="187" t="s">
        <v>607</v>
      </c>
      <c r="C209" s="187" t="s">
        <v>471</v>
      </c>
      <c r="D209" s="188" t="s">
        <v>895</v>
      </c>
      <c r="E209" s="241"/>
      <c r="F209" s="196" t="s">
        <v>882</v>
      </c>
    </row>
    <row r="210" spans="1:6" x14ac:dyDescent="0.25">
      <c r="A210" s="140" t="s">
        <v>884</v>
      </c>
      <c r="B210" s="187" t="s">
        <v>607</v>
      </c>
      <c r="C210" s="119" t="s">
        <v>40</v>
      </c>
      <c r="E210" s="241"/>
    </row>
    <row r="211" spans="1:6" x14ac:dyDescent="0.25">
      <c r="A211" s="140" t="s">
        <v>889</v>
      </c>
      <c r="B211" s="187" t="s">
        <v>607</v>
      </c>
      <c r="C211" s="187" t="s">
        <v>40</v>
      </c>
      <c r="E211" s="241"/>
    </row>
    <row r="212" spans="1:6" x14ac:dyDescent="0.25">
      <c r="A212" s="140" t="s">
        <v>890</v>
      </c>
      <c r="B212" s="187" t="s">
        <v>607</v>
      </c>
      <c r="C212" s="187" t="s">
        <v>40</v>
      </c>
      <c r="E212" s="241"/>
    </row>
    <row r="213" spans="1:6" x14ac:dyDescent="0.25">
      <c r="A213" s="140" t="s">
        <v>891</v>
      </c>
      <c r="B213" s="187" t="s">
        <v>607</v>
      </c>
      <c r="C213" s="187" t="s">
        <v>40</v>
      </c>
      <c r="E213" s="241"/>
    </row>
    <row r="214" spans="1:6" x14ac:dyDescent="0.25">
      <c r="A214" s="140" t="s">
        <v>892</v>
      </c>
      <c r="B214" s="187" t="s">
        <v>607</v>
      </c>
      <c r="C214" s="119" t="s">
        <v>40</v>
      </c>
      <c r="E214" s="241"/>
    </row>
    <row r="215" spans="1:6" x14ac:dyDescent="0.25">
      <c r="A215" s="140" t="s">
        <v>893</v>
      </c>
      <c r="B215" s="187" t="s">
        <v>607</v>
      </c>
      <c r="C215" s="187" t="s">
        <v>40</v>
      </c>
      <c r="E215" s="241"/>
    </row>
    <row r="216" spans="1:6" ht="105" x14ac:dyDescent="0.25">
      <c r="A216" s="140" t="s">
        <v>894</v>
      </c>
      <c r="B216" s="187" t="s">
        <v>607</v>
      </c>
      <c r="C216" s="187" t="s">
        <v>471</v>
      </c>
      <c r="D216" s="188" t="s">
        <v>898</v>
      </c>
      <c r="E216" s="241"/>
      <c r="F216" s="196" t="s">
        <v>882</v>
      </c>
    </row>
    <row r="217" spans="1:6" x14ac:dyDescent="0.25">
      <c r="A217" s="140" t="s">
        <v>899</v>
      </c>
      <c r="B217" s="187" t="s">
        <v>607</v>
      </c>
      <c r="C217" s="119" t="s">
        <v>40</v>
      </c>
      <c r="E217" s="241"/>
    </row>
    <row r="218" spans="1:6" ht="75" x14ac:dyDescent="0.25">
      <c r="A218" s="140" t="s">
        <v>900</v>
      </c>
      <c r="B218" s="187" t="s">
        <v>607</v>
      </c>
      <c r="C218" s="119" t="s">
        <v>471</v>
      </c>
      <c r="D218" s="188" t="s">
        <v>906</v>
      </c>
      <c r="E218" s="241"/>
      <c r="F218" s="196" t="s">
        <v>882</v>
      </c>
    </row>
    <row r="219" spans="1:6" x14ac:dyDescent="0.25">
      <c r="A219" s="140" t="s">
        <v>901</v>
      </c>
      <c r="B219" s="187" t="s">
        <v>607</v>
      </c>
      <c r="C219" s="119" t="s">
        <v>40</v>
      </c>
      <c r="E219" s="241"/>
    </row>
    <row r="220" spans="1:6" ht="30" x14ac:dyDescent="0.25">
      <c r="A220" s="140" t="s">
        <v>902</v>
      </c>
      <c r="B220" s="187" t="s">
        <v>607</v>
      </c>
      <c r="C220" s="119" t="s">
        <v>471</v>
      </c>
      <c r="D220" s="188" t="s">
        <v>907</v>
      </c>
      <c r="E220" s="241"/>
      <c r="F220" s="196" t="s">
        <v>882</v>
      </c>
    </row>
    <row r="221" spans="1:6" x14ac:dyDescent="0.25">
      <c r="A221" s="140" t="s">
        <v>903</v>
      </c>
      <c r="B221" s="187" t="s">
        <v>607</v>
      </c>
      <c r="C221" s="119" t="s">
        <v>40</v>
      </c>
      <c r="E221" s="241"/>
    </row>
    <row r="222" spans="1:6" ht="45" x14ac:dyDescent="0.25">
      <c r="A222" s="140" t="s">
        <v>904</v>
      </c>
      <c r="B222" s="187" t="s">
        <v>607</v>
      </c>
      <c r="C222" s="119" t="s">
        <v>471</v>
      </c>
      <c r="D222" s="188" t="s">
        <v>908</v>
      </c>
      <c r="E222" s="241"/>
      <c r="F222" s="196" t="s">
        <v>882</v>
      </c>
    </row>
    <row r="223" spans="1:6" x14ac:dyDescent="0.25">
      <c r="A223" s="140" t="s">
        <v>905</v>
      </c>
      <c r="B223" s="187" t="s">
        <v>607</v>
      </c>
      <c r="C223" s="119" t="s">
        <v>40</v>
      </c>
      <c r="E223" s="241"/>
    </row>
    <row r="224" spans="1:6" x14ac:dyDescent="0.25">
      <c r="A224" s="140" t="s">
        <v>909</v>
      </c>
      <c r="B224" s="187" t="s">
        <v>607</v>
      </c>
      <c r="C224" s="187" t="s">
        <v>40</v>
      </c>
      <c r="E224" s="241"/>
    </row>
    <row r="225" spans="1:6" x14ac:dyDescent="0.25">
      <c r="A225" s="140" t="s">
        <v>910</v>
      </c>
      <c r="B225" s="187" t="s">
        <v>607</v>
      </c>
      <c r="C225" s="187" t="s">
        <v>40</v>
      </c>
      <c r="E225" s="241"/>
    </row>
    <row r="226" spans="1:6" ht="30" x14ac:dyDescent="0.25">
      <c r="A226" s="140" t="s">
        <v>911</v>
      </c>
      <c r="B226" s="187" t="s">
        <v>607</v>
      </c>
      <c r="C226" s="119" t="s">
        <v>471</v>
      </c>
      <c r="D226" s="188" t="s">
        <v>918</v>
      </c>
      <c r="E226" s="241"/>
      <c r="F226" s="248" t="s">
        <v>882</v>
      </c>
    </row>
    <row r="227" spans="1:6" ht="120" x14ac:dyDescent="0.25">
      <c r="A227" s="140" t="s">
        <v>912</v>
      </c>
      <c r="B227" s="187" t="s">
        <v>607</v>
      </c>
      <c r="C227" s="119" t="s">
        <v>471</v>
      </c>
      <c r="D227" s="188" t="s">
        <v>917</v>
      </c>
      <c r="E227" s="241"/>
      <c r="F227" s="248"/>
    </row>
    <row r="228" spans="1:6" x14ac:dyDescent="0.25">
      <c r="A228" s="140" t="s">
        <v>913</v>
      </c>
      <c r="B228" s="187" t="s">
        <v>607</v>
      </c>
      <c r="C228" s="119" t="s">
        <v>40</v>
      </c>
      <c r="E228" s="241"/>
    </row>
    <row r="229" spans="1:6" x14ac:dyDescent="0.25">
      <c r="A229" s="140" t="s">
        <v>914</v>
      </c>
      <c r="B229" s="187" t="s">
        <v>607</v>
      </c>
      <c r="C229" s="119" t="s">
        <v>40</v>
      </c>
      <c r="E229" s="241"/>
    </row>
    <row r="230" spans="1:6" x14ac:dyDescent="0.25">
      <c r="A230" s="140" t="s">
        <v>915</v>
      </c>
      <c r="B230" s="187" t="s">
        <v>607</v>
      </c>
      <c r="C230" s="119" t="s">
        <v>40</v>
      </c>
      <c r="E230" s="241"/>
    </row>
    <row r="231" spans="1:6" ht="105" x14ac:dyDescent="0.25">
      <c r="A231" s="140" t="s">
        <v>916</v>
      </c>
      <c r="B231" s="187" t="s">
        <v>607</v>
      </c>
      <c r="C231" s="119" t="s">
        <v>471</v>
      </c>
      <c r="D231" s="188" t="s">
        <v>919</v>
      </c>
      <c r="E231" s="241"/>
      <c r="F231" s="196" t="s">
        <v>882</v>
      </c>
    </row>
    <row r="232" spans="1:6" x14ac:dyDescent="0.25">
      <c r="A232" s="140" t="s">
        <v>920</v>
      </c>
      <c r="B232" s="187" t="s">
        <v>607</v>
      </c>
      <c r="C232" s="187" t="s">
        <v>40</v>
      </c>
      <c r="E232" s="241"/>
    </row>
    <row r="233" spans="1:6" x14ac:dyDescent="0.25">
      <c r="A233" s="140" t="s">
        <v>921</v>
      </c>
      <c r="B233" s="187" t="s">
        <v>607</v>
      </c>
      <c r="C233" s="187" t="s">
        <v>40</v>
      </c>
      <c r="E233" s="241"/>
    </row>
    <row r="234" spans="1:6" x14ac:dyDescent="0.25">
      <c r="A234" s="140" t="s">
        <v>922</v>
      </c>
      <c r="B234" s="187" t="s">
        <v>607</v>
      </c>
      <c r="C234" s="187" t="s">
        <v>40</v>
      </c>
      <c r="E234" s="241"/>
    </row>
    <row r="235" spans="1:6" x14ac:dyDescent="0.25">
      <c r="A235" s="140" t="s">
        <v>923</v>
      </c>
      <c r="B235" s="187" t="s">
        <v>607</v>
      </c>
      <c r="C235" s="187" t="s">
        <v>40</v>
      </c>
      <c r="E235" s="241"/>
    </row>
    <row r="236" spans="1:6" x14ac:dyDescent="0.25">
      <c r="A236" s="140" t="s">
        <v>924</v>
      </c>
      <c r="B236" s="187" t="s">
        <v>607</v>
      </c>
      <c r="C236" s="187" t="s">
        <v>40</v>
      </c>
      <c r="E236" s="241"/>
    </row>
    <row r="237" spans="1:6" ht="60" x14ac:dyDescent="0.25">
      <c r="A237" s="140" t="s">
        <v>925</v>
      </c>
      <c r="B237" s="187" t="s">
        <v>607</v>
      </c>
      <c r="C237" s="187" t="s">
        <v>471</v>
      </c>
      <c r="D237" s="188" t="s">
        <v>926</v>
      </c>
      <c r="E237" s="241"/>
      <c r="F237" s="248" t="s">
        <v>882</v>
      </c>
    </row>
    <row r="238" spans="1:6" ht="30" x14ac:dyDescent="0.25">
      <c r="A238" s="140" t="s">
        <v>927</v>
      </c>
      <c r="B238" s="187" t="s">
        <v>607</v>
      </c>
      <c r="C238" s="119" t="s">
        <v>471</v>
      </c>
      <c r="D238" s="188" t="s">
        <v>936</v>
      </c>
      <c r="E238" s="241"/>
      <c r="F238" s="248"/>
    </row>
    <row r="239" spans="1:6" x14ac:dyDescent="0.25">
      <c r="A239" s="140" t="s">
        <v>928</v>
      </c>
      <c r="B239" s="187" t="s">
        <v>607</v>
      </c>
      <c r="C239" s="119" t="s">
        <v>40</v>
      </c>
      <c r="E239" s="241"/>
    </row>
    <row r="240" spans="1:6" ht="30" x14ac:dyDescent="0.25">
      <c r="A240" s="140" t="s">
        <v>929</v>
      </c>
      <c r="B240" s="187" t="s">
        <v>607</v>
      </c>
      <c r="C240" s="119" t="s">
        <v>471</v>
      </c>
      <c r="D240" s="188" t="s">
        <v>937</v>
      </c>
      <c r="E240" s="241"/>
      <c r="F240" s="248" t="s">
        <v>882</v>
      </c>
    </row>
    <row r="241" spans="1:6" x14ac:dyDescent="0.25">
      <c r="A241" s="140" t="s">
        <v>930</v>
      </c>
      <c r="B241" s="187" t="s">
        <v>607</v>
      </c>
      <c r="C241" s="119" t="s">
        <v>40</v>
      </c>
      <c r="E241" s="241"/>
      <c r="F241" s="248"/>
    </row>
    <row r="242" spans="1:6" x14ac:dyDescent="0.25">
      <c r="A242" s="140" t="s">
        <v>931</v>
      </c>
      <c r="B242" s="187" t="s">
        <v>607</v>
      </c>
      <c r="C242" s="119" t="s">
        <v>40</v>
      </c>
      <c r="E242" s="241"/>
    </row>
    <row r="243" spans="1:6" x14ac:dyDescent="0.25">
      <c r="A243" s="140" t="s">
        <v>932</v>
      </c>
      <c r="B243" s="187" t="s">
        <v>607</v>
      </c>
      <c r="C243" s="119" t="s">
        <v>40</v>
      </c>
      <c r="E243" s="241"/>
    </row>
    <row r="244" spans="1:6" x14ac:dyDescent="0.25">
      <c r="A244" s="140" t="s">
        <v>933</v>
      </c>
      <c r="B244" s="187" t="s">
        <v>607</v>
      </c>
      <c r="C244" s="119" t="s">
        <v>40</v>
      </c>
      <c r="E244" s="241"/>
    </row>
    <row r="245" spans="1:6" x14ac:dyDescent="0.25">
      <c r="A245" s="140" t="s">
        <v>934</v>
      </c>
      <c r="B245" s="187" t="s">
        <v>607</v>
      </c>
      <c r="C245" s="187" t="s">
        <v>40</v>
      </c>
      <c r="E245" s="241"/>
    </row>
    <row r="246" spans="1:6" x14ac:dyDescent="0.25">
      <c r="A246" s="140" t="s">
        <v>935</v>
      </c>
      <c r="B246" s="187" t="s">
        <v>607</v>
      </c>
      <c r="C246" s="187" t="s">
        <v>40</v>
      </c>
      <c r="E246" s="241"/>
    </row>
    <row r="247" spans="1:6" x14ac:dyDescent="0.25">
      <c r="A247" s="140" t="s">
        <v>938</v>
      </c>
      <c r="B247" s="187" t="s">
        <v>607</v>
      </c>
      <c r="C247" s="119" t="s">
        <v>40</v>
      </c>
      <c r="E247" s="241"/>
    </row>
    <row r="248" spans="1:6" x14ac:dyDescent="0.25">
      <c r="A248" s="140" t="s">
        <v>939</v>
      </c>
      <c r="B248" s="187" t="s">
        <v>607</v>
      </c>
      <c r="C248" s="119" t="s">
        <v>40</v>
      </c>
      <c r="E248" s="241"/>
    </row>
    <row r="249" spans="1:6" x14ac:dyDescent="0.25">
      <c r="A249" s="140" t="s">
        <v>940</v>
      </c>
      <c r="B249" s="187" t="s">
        <v>607</v>
      </c>
      <c r="C249" s="187" t="s">
        <v>40</v>
      </c>
      <c r="E249" s="241"/>
    </row>
    <row r="250" spans="1:6" x14ac:dyDescent="0.25">
      <c r="A250" s="140" t="s">
        <v>941</v>
      </c>
      <c r="B250" s="187" t="s">
        <v>607</v>
      </c>
      <c r="C250" s="187" t="s">
        <v>40</v>
      </c>
      <c r="E250" s="241"/>
    </row>
    <row r="251" spans="1:6" ht="75" x14ac:dyDescent="0.25">
      <c r="A251" s="140" t="s">
        <v>942</v>
      </c>
      <c r="B251" s="187" t="s">
        <v>607</v>
      </c>
      <c r="C251" s="119" t="s">
        <v>471</v>
      </c>
      <c r="D251" s="188" t="s">
        <v>944</v>
      </c>
      <c r="E251" s="241"/>
      <c r="F251" s="196" t="s">
        <v>882</v>
      </c>
    </row>
    <row r="252" spans="1:6" x14ac:dyDescent="0.25">
      <c r="A252" s="140" t="s">
        <v>943</v>
      </c>
      <c r="B252" s="187" t="s">
        <v>607</v>
      </c>
      <c r="C252" s="119" t="s">
        <v>40</v>
      </c>
      <c r="E252" s="241"/>
      <c r="F252"/>
    </row>
    <row r="253" spans="1:6" ht="45" x14ac:dyDescent="0.25">
      <c r="A253" s="140" t="s">
        <v>945</v>
      </c>
      <c r="B253" s="194" t="s">
        <v>607</v>
      </c>
      <c r="C253" s="119" t="s">
        <v>471</v>
      </c>
      <c r="D253" s="197" t="s">
        <v>959</v>
      </c>
      <c r="E253" s="241"/>
      <c r="F253" s="196" t="s">
        <v>882</v>
      </c>
    </row>
    <row r="254" spans="1:6" ht="30" x14ac:dyDescent="0.25">
      <c r="A254" s="140" t="s">
        <v>946</v>
      </c>
      <c r="B254" s="194" t="s">
        <v>607</v>
      </c>
      <c r="C254" s="194" t="s">
        <v>470</v>
      </c>
      <c r="D254" s="149" t="s">
        <v>953</v>
      </c>
      <c r="E254" s="241"/>
    </row>
    <row r="255" spans="1:6" ht="30" x14ac:dyDescent="0.25">
      <c r="A255" s="140" t="s">
        <v>947</v>
      </c>
      <c r="B255" s="194" t="s">
        <v>607</v>
      </c>
      <c r="C255" s="194" t="s">
        <v>470</v>
      </c>
      <c r="D255" s="195" t="s">
        <v>953</v>
      </c>
      <c r="E255" s="241"/>
    </row>
    <row r="256" spans="1:6" ht="45" x14ac:dyDescent="0.25">
      <c r="A256" s="140" t="s">
        <v>948</v>
      </c>
      <c r="B256" s="194" t="s">
        <v>607</v>
      </c>
      <c r="C256" s="194" t="s">
        <v>470</v>
      </c>
      <c r="D256" s="149" t="s">
        <v>955</v>
      </c>
      <c r="E256" s="241"/>
    </row>
    <row r="257" spans="1:5" ht="30" x14ac:dyDescent="0.25">
      <c r="A257" s="140" t="s">
        <v>949</v>
      </c>
      <c r="B257" s="194" t="s">
        <v>607</v>
      </c>
      <c r="C257" s="194" t="s">
        <v>470</v>
      </c>
      <c r="D257" s="149" t="s">
        <v>954</v>
      </c>
      <c r="E257" s="241"/>
    </row>
    <row r="258" spans="1:5" ht="45" x14ac:dyDescent="0.25">
      <c r="A258" s="140" t="s">
        <v>950</v>
      </c>
      <c r="B258" s="194" t="s">
        <v>607</v>
      </c>
      <c r="C258" s="194" t="s">
        <v>470</v>
      </c>
      <c r="D258" s="149" t="s">
        <v>956</v>
      </c>
      <c r="E258" s="241"/>
    </row>
    <row r="259" spans="1:5" ht="60" x14ac:dyDescent="0.25">
      <c r="A259" s="140" t="s">
        <v>951</v>
      </c>
      <c r="B259" s="194" t="s">
        <v>607</v>
      </c>
      <c r="C259" s="194" t="s">
        <v>471</v>
      </c>
      <c r="D259" s="197" t="s">
        <v>957</v>
      </c>
      <c r="E259" s="241"/>
    </row>
    <row r="260" spans="1:5" ht="30" x14ac:dyDescent="0.25">
      <c r="A260" s="140" t="s">
        <v>952</v>
      </c>
      <c r="B260" s="194" t="s">
        <v>607</v>
      </c>
      <c r="C260" s="194" t="s">
        <v>470</v>
      </c>
      <c r="D260" s="149" t="s">
        <v>958</v>
      </c>
      <c r="E260" s="241"/>
    </row>
  </sheetData>
  <mergeCells count="44">
    <mergeCell ref="E205:E260"/>
    <mergeCell ref="F206:F207"/>
    <mergeCell ref="F226:F227"/>
    <mergeCell ref="F237:F238"/>
    <mergeCell ref="F240:F241"/>
    <mergeCell ref="E149:E167"/>
    <mergeCell ref="E182:E186"/>
    <mergeCell ref="F180:F181"/>
    <mergeCell ref="F185:F188"/>
    <mergeCell ref="F190:F191"/>
    <mergeCell ref="H2:I3"/>
    <mergeCell ref="E2:E60"/>
    <mergeCell ref="E67:E74"/>
    <mergeCell ref="F79:F82"/>
    <mergeCell ref="E65:E66"/>
    <mergeCell ref="F4:F5"/>
    <mergeCell ref="F9:F10"/>
    <mergeCell ref="F115:F119"/>
    <mergeCell ref="E75:E79"/>
    <mergeCell ref="E147:E148"/>
    <mergeCell ref="E143:E146"/>
    <mergeCell ref="F141:F142"/>
    <mergeCell ref="F127:F131"/>
    <mergeCell ref="F134:F135"/>
    <mergeCell ref="D127:D131"/>
    <mergeCell ref="D134:D135"/>
    <mergeCell ref="D81:D82"/>
    <mergeCell ref="E80:E86"/>
    <mergeCell ref="E87:E88"/>
    <mergeCell ref="D115:D116"/>
    <mergeCell ref="E89:E118"/>
    <mergeCell ref="E119:E142"/>
    <mergeCell ref="E168:E176"/>
    <mergeCell ref="E187:E198"/>
    <mergeCell ref="F169:F170"/>
    <mergeCell ref="D172:D174"/>
    <mergeCell ref="D180:D181"/>
    <mergeCell ref="E177:E181"/>
    <mergeCell ref="F175:F176"/>
    <mergeCell ref="F172:F174"/>
    <mergeCell ref="E199:E201"/>
    <mergeCell ref="E202:E204"/>
    <mergeCell ref="F193:F195"/>
    <mergeCell ref="F197:F198"/>
  </mergeCells>
  <conditionalFormatting sqref="C1:C88 C91:C1048576">
    <cfRule type="cellIs" dxfId="23" priority="29" operator="equal">
      <formula>"Not Started"</formula>
    </cfRule>
    <cfRule type="cellIs" dxfId="22" priority="30" operator="equal">
      <formula>"Fixing"</formula>
    </cfRule>
    <cfRule type="cellIs" dxfId="21" priority="31" operator="equal">
      <formula>"Fixed"</formula>
    </cfRule>
    <cfRule type="cellIs" dxfId="20" priority="32" operator="equal">
      <formula>"Error"</formula>
    </cfRule>
    <cfRule type="cellIs" dxfId="19" priority="33" operator="equal">
      <formula>"Finished"</formula>
    </cfRule>
  </conditionalFormatting>
  <conditionalFormatting sqref="C89:C90">
    <cfRule type="cellIs" dxfId="18" priority="14" operator="equal">
      <formula>"Not Started"</formula>
    </cfRule>
    <cfRule type="cellIs" dxfId="17" priority="15" operator="equal">
      <formula>"Fixing"</formula>
    </cfRule>
    <cfRule type="cellIs" dxfId="16" priority="16" operator="equal">
      <formula>"Fixed"</formula>
    </cfRule>
    <cfRule type="cellIs" dxfId="15" priority="17" operator="equal">
      <formula>"Error"</formula>
    </cfRule>
    <cfRule type="cellIs" dxfId="14" priority="18" operator="equal">
      <formula>"Finished"</formula>
    </cfRule>
  </conditionalFormatting>
  <conditionalFormatting sqref="B1:B1048576">
    <cfRule type="cellIs" dxfId="13" priority="1" operator="equal">
      <formula>"WhiteBox"</formula>
    </cfRule>
    <cfRule type="cellIs" dxfId="12" priority="2" operator="equal">
      <formula>"BlackBox"</formula>
    </cfRule>
    <cfRule type="cellIs" dxfId="11" priority="3" operator="equal">
      <formula>"GrayBox"</formula>
    </cfRule>
  </conditionalFormatting>
  <dataValidations count="2">
    <dataValidation type="list" allowBlank="1" showInputMessage="1" showErrorMessage="1" sqref="B1:B1048576">
      <formula1>"WhiteBox, GrayBox, BlackBox"</formula1>
    </dataValidation>
    <dataValidation type="list" allowBlank="1" showInputMessage="1" showErrorMessage="1" sqref="C1:C1048576">
      <formula1>"Finished, Error, Fixed, Fixing, Not Started"</formula1>
    </dataValidation>
  </dataValidations>
  <hyperlinks>
    <hyperlink ref="H2:I3" location="'Summary Plan'!O1" display="Summary"/>
  </hyperlinks>
  <pageMargins left="0.7" right="0.7" top="0.75" bottom="0.75" header="0.3" footer="0.3"/>
  <pageSetup paperSize="9" orientation="portrait"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54"/>
  <sheetViews>
    <sheetView workbookViewId="0">
      <pane ySplit="1" topLeftCell="A26" activePane="bottomLeft" state="frozen"/>
      <selection pane="bottomLeft" activeCell="G45" sqref="G45"/>
    </sheetView>
  </sheetViews>
  <sheetFormatPr defaultRowHeight="15" x14ac:dyDescent="0.25"/>
  <cols>
    <col min="1" max="4" width="26.7109375" style="17" customWidth="1"/>
  </cols>
  <sheetData>
    <row r="1" spans="1:4" x14ac:dyDescent="0.25">
      <c r="A1" s="189" t="s">
        <v>748</v>
      </c>
      <c r="B1" s="189" t="s">
        <v>749</v>
      </c>
      <c r="C1" s="189" t="s">
        <v>750</v>
      </c>
      <c r="D1" s="189" t="s">
        <v>751</v>
      </c>
    </row>
    <row r="2" spans="1:4" x14ac:dyDescent="0.25">
      <c r="A2" s="249" t="s">
        <v>767</v>
      </c>
      <c r="B2" s="249"/>
      <c r="C2" s="249"/>
      <c r="D2" s="249"/>
    </row>
    <row r="3" spans="1:4" ht="30" x14ac:dyDescent="0.25">
      <c r="A3" s="17" t="s">
        <v>752</v>
      </c>
      <c r="B3" s="17" t="s">
        <v>753</v>
      </c>
      <c r="C3" s="17" t="s">
        <v>754</v>
      </c>
      <c r="D3" s="191" t="s">
        <v>775</v>
      </c>
    </row>
    <row r="4" spans="1:4" ht="45" x14ac:dyDescent="0.25">
      <c r="A4" s="17" t="s">
        <v>755</v>
      </c>
      <c r="B4" s="17" t="s">
        <v>757</v>
      </c>
      <c r="C4" s="17" t="s">
        <v>760</v>
      </c>
      <c r="D4" s="191" t="s">
        <v>775</v>
      </c>
    </row>
    <row r="5" spans="1:4" ht="45" x14ac:dyDescent="0.25">
      <c r="A5" s="17" t="s">
        <v>756</v>
      </c>
      <c r="B5" s="17" t="s">
        <v>758</v>
      </c>
      <c r="C5" s="17" t="s">
        <v>759</v>
      </c>
      <c r="D5" s="191" t="s">
        <v>775</v>
      </c>
    </row>
    <row r="6" spans="1:4" ht="45" x14ac:dyDescent="0.25">
      <c r="A6" s="17" t="s">
        <v>761</v>
      </c>
      <c r="B6" s="17" t="s">
        <v>762</v>
      </c>
      <c r="C6" s="17" t="s">
        <v>763</v>
      </c>
      <c r="D6" s="191" t="s">
        <v>775</v>
      </c>
    </row>
    <row r="7" spans="1:4" ht="45" x14ac:dyDescent="0.25">
      <c r="A7" s="17" t="s">
        <v>766</v>
      </c>
      <c r="B7" s="17" t="s">
        <v>764</v>
      </c>
      <c r="C7" s="17" t="s">
        <v>765</v>
      </c>
      <c r="D7" s="191" t="s">
        <v>775</v>
      </c>
    </row>
    <row r="8" spans="1:4" x14ac:dyDescent="0.25">
      <c r="A8" s="249" t="s">
        <v>768</v>
      </c>
      <c r="B8" s="249"/>
      <c r="C8" s="249"/>
      <c r="D8" s="249"/>
    </row>
    <row r="9" spans="1:4" ht="90" x14ac:dyDescent="0.25">
      <c r="A9" s="17" t="s">
        <v>769</v>
      </c>
      <c r="B9" s="17" t="s">
        <v>770</v>
      </c>
      <c r="C9" s="17" t="s">
        <v>771</v>
      </c>
      <c r="D9" s="190" t="s">
        <v>515</v>
      </c>
    </row>
    <row r="10" spans="1:4" ht="30" x14ac:dyDescent="0.25">
      <c r="A10" s="17" t="s">
        <v>772</v>
      </c>
      <c r="B10" s="17" t="s">
        <v>773</v>
      </c>
      <c r="C10" s="17" t="s">
        <v>774</v>
      </c>
      <c r="D10" s="193" t="s">
        <v>877</v>
      </c>
    </row>
    <row r="11" spans="1:4" x14ac:dyDescent="0.25">
      <c r="A11" s="249" t="s">
        <v>776</v>
      </c>
      <c r="B11" s="249"/>
      <c r="C11" s="249"/>
      <c r="D11" s="249"/>
    </row>
    <row r="12" spans="1:4" ht="30" x14ac:dyDescent="0.25">
      <c r="A12" s="17" t="s">
        <v>777</v>
      </c>
      <c r="B12" s="17" t="s">
        <v>778</v>
      </c>
      <c r="C12" s="17" t="s">
        <v>779</v>
      </c>
      <c r="D12" s="191" t="s">
        <v>775</v>
      </c>
    </row>
    <row r="13" spans="1:4" x14ac:dyDescent="0.25">
      <c r="A13" s="249" t="s">
        <v>780</v>
      </c>
      <c r="B13" s="249"/>
      <c r="C13" s="249"/>
      <c r="D13" s="249"/>
    </row>
    <row r="14" spans="1:4" ht="45" x14ac:dyDescent="0.25">
      <c r="A14" s="17" t="s">
        <v>781</v>
      </c>
      <c r="B14" s="17" t="s">
        <v>782</v>
      </c>
      <c r="C14" s="17" t="s">
        <v>783</v>
      </c>
      <c r="D14" s="191" t="s">
        <v>775</v>
      </c>
    </row>
    <row r="15" spans="1:4" ht="75" x14ac:dyDescent="0.25">
      <c r="A15" s="17" t="s">
        <v>784</v>
      </c>
      <c r="B15" s="17" t="s">
        <v>788</v>
      </c>
      <c r="C15" s="17" t="s">
        <v>785</v>
      </c>
      <c r="D15" s="191" t="s">
        <v>775</v>
      </c>
    </row>
    <row r="16" spans="1:4" ht="45" x14ac:dyDescent="0.25">
      <c r="A16" s="17" t="s">
        <v>787</v>
      </c>
      <c r="B16" s="17" t="s">
        <v>791</v>
      </c>
      <c r="C16" s="17" t="s">
        <v>789</v>
      </c>
      <c r="D16" s="191" t="s">
        <v>775</v>
      </c>
    </row>
    <row r="17" spans="1:4" x14ac:dyDescent="0.25">
      <c r="A17" s="249" t="s">
        <v>786</v>
      </c>
      <c r="B17" s="249"/>
      <c r="C17" s="249"/>
      <c r="D17" s="249"/>
    </row>
    <row r="18" spans="1:4" ht="30" x14ac:dyDescent="0.25">
      <c r="A18" s="22" t="s">
        <v>790</v>
      </c>
      <c r="B18" s="17" t="s">
        <v>792</v>
      </c>
      <c r="C18" s="17" t="s">
        <v>793</v>
      </c>
      <c r="D18" s="191" t="s">
        <v>775</v>
      </c>
    </row>
    <row r="19" spans="1:4" ht="30" x14ac:dyDescent="0.25">
      <c r="A19" s="17" t="s">
        <v>794</v>
      </c>
      <c r="B19" s="17" t="s">
        <v>795</v>
      </c>
      <c r="C19" s="17" t="s">
        <v>796</v>
      </c>
      <c r="D19" s="191" t="s">
        <v>775</v>
      </c>
    </row>
    <row r="20" spans="1:4" ht="45" x14ac:dyDescent="0.25">
      <c r="A20" s="17" t="s">
        <v>797</v>
      </c>
      <c r="B20" s="17" t="s">
        <v>798</v>
      </c>
      <c r="C20" s="17" t="s">
        <v>799</v>
      </c>
      <c r="D20" s="191" t="s">
        <v>775</v>
      </c>
    </row>
    <row r="21" spans="1:4" ht="45" x14ac:dyDescent="0.25">
      <c r="A21" s="17" t="s">
        <v>800</v>
      </c>
      <c r="B21" s="17" t="s">
        <v>801</v>
      </c>
      <c r="C21" s="17" t="s">
        <v>802</v>
      </c>
      <c r="D21" s="191" t="s">
        <v>775</v>
      </c>
    </row>
    <row r="22" spans="1:4" x14ac:dyDescent="0.25">
      <c r="A22" s="249" t="s">
        <v>805</v>
      </c>
      <c r="B22" s="249"/>
      <c r="C22" s="249"/>
      <c r="D22" s="249"/>
    </row>
    <row r="23" spans="1:4" ht="45" x14ac:dyDescent="0.25">
      <c r="A23" s="17" t="s">
        <v>859</v>
      </c>
      <c r="B23" s="17" t="s">
        <v>860</v>
      </c>
      <c r="C23" s="17" t="s">
        <v>861</v>
      </c>
      <c r="D23" s="193" t="s">
        <v>877</v>
      </c>
    </row>
    <row r="24" spans="1:4" ht="60" x14ac:dyDescent="0.25">
      <c r="A24" s="17" t="s">
        <v>804</v>
      </c>
      <c r="B24" s="17" t="s">
        <v>806</v>
      </c>
      <c r="C24" s="17" t="s">
        <v>878</v>
      </c>
      <c r="D24" s="192" t="s">
        <v>879</v>
      </c>
    </row>
    <row r="25" spans="1:4" ht="30" x14ac:dyDescent="0.25">
      <c r="A25" s="17" t="s">
        <v>862</v>
      </c>
      <c r="B25" s="17" t="s">
        <v>863</v>
      </c>
      <c r="C25" s="17" t="s">
        <v>864</v>
      </c>
      <c r="D25" s="191" t="s">
        <v>775</v>
      </c>
    </row>
    <row r="26" spans="1:4" ht="45" x14ac:dyDescent="0.25">
      <c r="A26" s="17" t="s">
        <v>807</v>
      </c>
      <c r="B26" s="17" t="s">
        <v>808</v>
      </c>
      <c r="C26" s="17" t="s">
        <v>809</v>
      </c>
      <c r="D26" s="193" t="s">
        <v>877</v>
      </c>
    </row>
    <row r="27" spans="1:4" ht="30" x14ac:dyDescent="0.25">
      <c r="A27" s="17" t="s">
        <v>810</v>
      </c>
      <c r="B27" s="17" t="s">
        <v>811</v>
      </c>
      <c r="C27" s="17" t="s">
        <v>812</v>
      </c>
      <c r="D27" s="193" t="s">
        <v>877</v>
      </c>
    </row>
    <row r="28" spans="1:4" ht="75" x14ac:dyDescent="0.25">
      <c r="A28" s="17" t="s">
        <v>813</v>
      </c>
      <c r="B28" s="17" t="s">
        <v>814</v>
      </c>
      <c r="C28" s="17" t="s">
        <v>871</v>
      </c>
      <c r="D28" s="193" t="s">
        <v>877</v>
      </c>
    </row>
    <row r="29" spans="1:4" ht="60" x14ac:dyDescent="0.25">
      <c r="A29" s="17" t="s">
        <v>817</v>
      </c>
      <c r="B29" s="17" t="s">
        <v>816</v>
      </c>
      <c r="C29" s="17" t="s">
        <v>818</v>
      </c>
      <c r="D29" s="191" t="s">
        <v>775</v>
      </c>
    </row>
    <row r="30" spans="1:4" ht="45" x14ac:dyDescent="0.25">
      <c r="A30" s="17" t="s">
        <v>819</v>
      </c>
      <c r="B30" s="17" t="s">
        <v>821</v>
      </c>
      <c r="C30" s="17" t="s">
        <v>820</v>
      </c>
      <c r="D30" s="191" t="s">
        <v>775</v>
      </c>
    </row>
    <row r="31" spans="1:4" ht="60" x14ac:dyDescent="0.25">
      <c r="A31" s="17" t="s">
        <v>822</v>
      </c>
      <c r="B31" s="17" t="s">
        <v>823</v>
      </c>
      <c r="C31" s="17" t="s">
        <v>881</v>
      </c>
      <c r="D31" s="191" t="s">
        <v>775</v>
      </c>
    </row>
    <row r="32" spans="1:4" ht="45" x14ac:dyDescent="0.25">
      <c r="A32" s="17" t="s">
        <v>815</v>
      </c>
      <c r="B32" s="17" t="s">
        <v>824</v>
      </c>
      <c r="C32" s="17" t="s">
        <v>880</v>
      </c>
      <c r="D32" s="191" t="s">
        <v>775</v>
      </c>
    </row>
    <row r="33" spans="1:4" x14ac:dyDescent="0.25">
      <c r="A33" s="249" t="s">
        <v>803</v>
      </c>
      <c r="B33" s="249"/>
      <c r="C33" s="249"/>
      <c r="D33" s="249"/>
    </row>
    <row r="34" spans="1:4" ht="45" x14ac:dyDescent="0.25">
      <c r="A34" s="22" t="s">
        <v>826</v>
      </c>
      <c r="B34" s="17" t="s">
        <v>825</v>
      </c>
      <c r="C34" s="17" t="s">
        <v>836</v>
      </c>
      <c r="D34" s="193" t="s">
        <v>877</v>
      </c>
    </row>
    <row r="35" spans="1:4" ht="60" x14ac:dyDescent="0.25">
      <c r="A35" s="17" t="s">
        <v>828</v>
      </c>
      <c r="B35" s="17" t="s">
        <v>829</v>
      </c>
      <c r="C35" s="17" t="s">
        <v>830</v>
      </c>
      <c r="D35" s="191" t="s">
        <v>775</v>
      </c>
    </row>
    <row r="36" spans="1:4" ht="30" x14ac:dyDescent="0.25">
      <c r="A36" s="17" t="s">
        <v>827</v>
      </c>
      <c r="B36" s="17" t="s">
        <v>831</v>
      </c>
      <c r="C36" s="17" t="s">
        <v>832</v>
      </c>
      <c r="D36" s="193" t="s">
        <v>877</v>
      </c>
    </row>
    <row r="37" spans="1:4" ht="30" x14ac:dyDescent="0.25">
      <c r="A37" s="17" t="s">
        <v>833</v>
      </c>
      <c r="B37" s="17" t="s">
        <v>834</v>
      </c>
      <c r="C37" s="17" t="s">
        <v>835</v>
      </c>
      <c r="D37" s="191" t="s">
        <v>775</v>
      </c>
    </row>
    <row r="38" spans="1:4" ht="30" x14ac:dyDescent="0.25">
      <c r="A38" s="17" t="s">
        <v>16</v>
      </c>
      <c r="B38" s="17" t="s">
        <v>838</v>
      </c>
      <c r="C38" s="17" t="s">
        <v>839</v>
      </c>
      <c r="D38" s="193" t="s">
        <v>877</v>
      </c>
    </row>
    <row r="39" spans="1:4" ht="105" x14ac:dyDescent="0.25">
      <c r="A39" s="17" t="s">
        <v>837</v>
      </c>
      <c r="B39" s="17" t="s">
        <v>840</v>
      </c>
      <c r="C39" s="17" t="s">
        <v>841</v>
      </c>
      <c r="D39" s="191" t="s">
        <v>775</v>
      </c>
    </row>
    <row r="40" spans="1:4" ht="30" x14ac:dyDescent="0.25">
      <c r="A40" s="17" t="s">
        <v>842</v>
      </c>
      <c r="B40" s="17" t="s">
        <v>824</v>
      </c>
      <c r="C40" s="17" t="s">
        <v>847</v>
      </c>
      <c r="D40" s="192" t="s">
        <v>848</v>
      </c>
    </row>
    <row r="41" spans="1:4" ht="30" x14ac:dyDescent="0.25">
      <c r="A41" s="17" t="s">
        <v>851</v>
      </c>
      <c r="B41" s="17" t="s">
        <v>849</v>
      </c>
      <c r="C41" s="17" t="s">
        <v>850</v>
      </c>
      <c r="D41" s="191" t="s">
        <v>775</v>
      </c>
    </row>
    <row r="42" spans="1:4" x14ac:dyDescent="0.25">
      <c r="A42" s="249" t="s">
        <v>843</v>
      </c>
      <c r="B42" s="249"/>
      <c r="C42" s="249"/>
      <c r="D42" s="249"/>
    </row>
    <row r="43" spans="1:4" ht="45" x14ac:dyDescent="0.25">
      <c r="A43" s="22" t="s">
        <v>844</v>
      </c>
      <c r="B43" s="17" t="s">
        <v>845</v>
      </c>
      <c r="C43" s="17" t="s">
        <v>846</v>
      </c>
      <c r="D43" s="193" t="s">
        <v>877</v>
      </c>
    </row>
    <row r="44" spans="1:4" x14ac:dyDescent="0.25">
      <c r="A44" s="249" t="s">
        <v>851</v>
      </c>
      <c r="B44" s="249"/>
      <c r="C44" s="249"/>
      <c r="D44" s="249"/>
    </row>
    <row r="45" spans="1:4" ht="30" x14ac:dyDescent="0.25">
      <c r="A45" s="22" t="s">
        <v>852</v>
      </c>
      <c r="B45" s="17" t="s">
        <v>853</v>
      </c>
      <c r="C45" s="17" t="s">
        <v>854</v>
      </c>
      <c r="D45" s="193" t="s">
        <v>877</v>
      </c>
    </row>
    <row r="46" spans="1:4" ht="30" x14ac:dyDescent="0.25">
      <c r="A46" s="17" t="s">
        <v>855</v>
      </c>
      <c r="B46" s="17" t="s">
        <v>856</v>
      </c>
      <c r="C46" s="17" t="s">
        <v>857</v>
      </c>
      <c r="D46" s="193" t="s">
        <v>877</v>
      </c>
    </row>
    <row r="47" spans="1:4" x14ac:dyDescent="0.25">
      <c r="A47" s="249" t="s">
        <v>858</v>
      </c>
      <c r="B47" s="249"/>
      <c r="C47" s="249"/>
      <c r="D47" s="249"/>
    </row>
    <row r="48" spans="1:4" ht="45" x14ac:dyDescent="0.25">
      <c r="A48" s="17" t="s">
        <v>859</v>
      </c>
      <c r="B48" s="17" t="s">
        <v>860</v>
      </c>
      <c r="C48" s="17" t="s">
        <v>861</v>
      </c>
      <c r="D48" s="191" t="s">
        <v>775</v>
      </c>
    </row>
    <row r="49" spans="1:4" ht="30" x14ac:dyDescent="0.25">
      <c r="A49" s="17" t="s">
        <v>862</v>
      </c>
      <c r="B49" s="17" t="s">
        <v>865</v>
      </c>
      <c r="C49" s="17" t="s">
        <v>864</v>
      </c>
      <c r="D49" s="191" t="s">
        <v>775</v>
      </c>
    </row>
    <row r="50" spans="1:4" ht="45" x14ac:dyDescent="0.25">
      <c r="A50" s="17" t="s">
        <v>807</v>
      </c>
      <c r="B50" s="17" t="s">
        <v>808</v>
      </c>
      <c r="C50" s="17" t="s">
        <v>809</v>
      </c>
      <c r="D50" s="191" t="s">
        <v>775</v>
      </c>
    </row>
    <row r="51" spans="1:4" ht="105" x14ac:dyDescent="0.25">
      <c r="A51" s="17" t="s">
        <v>866</v>
      </c>
      <c r="B51" s="17" t="s">
        <v>867</v>
      </c>
      <c r="C51" s="17" t="s">
        <v>868</v>
      </c>
      <c r="D51" s="193" t="s">
        <v>877</v>
      </c>
    </row>
    <row r="52" spans="1:4" ht="45" x14ac:dyDescent="0.25">
      <c r="A52" s="17" t="s">
        <v>869</v>
      </c>
      <c r="B52" s="17" t="s">
        <v>870</v>
      </c>
      <c r="C52" s="17" t="s">
        <v>876</v>
      </c>
      <c r="D52" s="193" t="s">
        <v>877</v>
      </c>
    </row>
    <row r="53" spans="1:4" ht="60" x14ac:dyDescent="0.25">
      <c r="A53" s="17" t="s">
        <v>872</v>
      </c>
      <c r="B53" s="17" t="s">
        <v>873</v>
      </c>
      <c r="C53" s="17" t="s">
        <v>818</v>
      </c>
      <c r="D53" s="192" t="s">
        <v>874</v>
      </c>
    </row>
    <row r="54" spans="1:4" x14ac:dyDescent="0.25">
      <c r="A54" s="17" t="s">
        <v>842</v>
      </c>
      <c r="B54" s="17" t="s">
        <v>824</v>
      </c>
      <c r="C54" s="17" t="s">
        <v>875</v>
      </c>
      <c r="D54" s="191" t="s">
        <v>775</v>
      </c>
    </row>
  </sheetData>
  <mergeCells count="10">
    <mergeCell ref="A33:D33"/>
    <mergeCell ref="A42:D42"/>
    <mergeCell ref="A44:D44"/>
    <mergeCell ref="A47:D47"/>
    <mergeCell ref="A2:D2"/>
    <mergeCell ref="A8:D8"/>
    <mergeCell ref="A11:D11"/>
    <mergeCell ref="A13:D13"/>
    <mergeCell ref="A17:D17"/>
    <mergeCell ref="A22:D22"/>
  </mergeCells>
  <pageMargins left="0.7" right="0.7" top="0.75" bottom="0.75" header="0.3" footer="0.3"/>
  <pageSetup paperSize="9" orientation="portrait"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Information</vt:lpstr>
      <vt:lpstr>Models</vt:lpstr>
      <vt:lpstr>Summary Plan</vt:lpstr>
      <vt:lpstr>Planning</vt:lpstr>
      <vt:lpstr>Checklist</vt:lpstr>
      <vt:lpstr>Testing</vt:lpstr>
      <vt:lpstr>Testing_for thesis paper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2016-11-18T15:16:49Z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425ef3e3-104c-4bbd-a7d7-7c157f3086f0</vt:lpwstr>
  </property>
</Properties>
</file>