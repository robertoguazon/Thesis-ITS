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<sst xmlns="http://schemas.openxmlformats.org/spreadsheetml/2006/main" count="506" uniqueCount="281">
  <si>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</si>
  <si>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</si>
  <si>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</si>
  <si>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</si>
  <si>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</si>
  <si>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</si>
  <si>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</si>
  <si>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</si>
  <si>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</si>
  <si>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</si>
  <si>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</si>
  <si>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</si>
  <si>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</si>
  <si>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</si>
  <si>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</si>
  <si>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</si>
  <si>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</si>
  <si>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</si>
  <si>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</si>
  <si>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</si>
  <si>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</si>
  <si>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</si>
  <si>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</si>
  <si>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</si>
  <si>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</si>
  <si>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</si>
  <si>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</si>
  <si>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</si>
  <si>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</si>
  <si>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</si>
  <si>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</si>
  <si>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</si>
  <si>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</si>
  <si>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</si>
  <si>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</si>
  <si>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</si>
  <si>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</si>
  <si>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</si>
  <si>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</si>
  <si>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</si>
  <si>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</si>
  <si>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</si>
  <si>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</si>
  <si>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</si>
  <si>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</si>
  <si>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</si>
  <si>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</si>
  <si>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</si>
  <si>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</si>
  <si>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</si>
  <si>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</si>
  <si>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</si>
  <si>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</si>
  <si>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</si>
  <si>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</si>
  <si>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</si>
  <si>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</si>
  <si>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</si>
  <si>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</si>
  <si>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</si>
  <si>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</si>
  <si>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</si>
  <si>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</si>
  <si>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</si>
  <si>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</si>
  <si>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</si>
  <si>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</si>
  <si>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</si>
  <si>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</si>
  <si>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</si>
  <si>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</si>
  <si>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</si>
  <si>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</si>
  <si>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</si>
  <si>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</si>
  <si>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</si>
  <si>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</si>
  <si>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</si>
  <si>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</si>
  <si>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</si>
  <si>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</si>
  <si>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</si>
  <si>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</si>
  <si>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</si>
  <si>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</si>
  <si>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</si>
  <si>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</si>
  <si>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</si>
  <si>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</si>
  <si>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</si>
  <si>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</si>
  <si>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</si>
  <si>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</si>
  <si>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</si>
  <si>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</si>
  <si>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</si>
  <si>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</si>
  <si>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</si>
  <si>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</si>
  <si>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</si>
  <si>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</si>
  <si>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</si>
  <si>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</si>
  <si>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</si>
  <si>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</si>
  <si>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</si>
  <si>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</si>
  <si>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</si>
  <si>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</si>
  <si>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</si>
  <si>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</si>
  <si>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</si>
  <si>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</si>
  <si>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</si>
  <si>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</si>
  <si>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</si>
  <si>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</si>
  <si>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</si>
  <si>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</si>
  <si>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</si>
  <si>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</si>
  <si>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</si>
  <si>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</si>
  <si>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</si>
  <si>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</si>
  <si>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</si>
  <si>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</si>
  <si>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</si>
  <si>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</si>
  <si>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</si>
  <si>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</si>
  <si>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</si>
  <si>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</si>
  <si>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</si>
  <si>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</si>
  <si>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</si>
  <si>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</si>
  <si>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</si>
  <si>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</si>
  <si>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</si>
  <si>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</si>
  <si>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</si>
  <si>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</si>
  <si>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</si>
  <si>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</si>
  <si>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</si>
  <si>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</si>
  <si>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</si>
  <si>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</si>
  <si>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</si>
  <si>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</si>
  <si>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</si>
  <si>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</si>
  <si>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</si>
  <si>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</si>
  <si>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</si>
  <si>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</si>
  <si>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</si>
  <si>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</si>
  <si>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</si>
  <si>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</si>
  <si>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</si>
  <si>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</si>
  <si>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</si>
  <si>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</si>
  <si>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</si>
  <si>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</si>
  <si>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</si>
  <si>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</si>
  <si>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</si>
  <si>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</si>
  <si>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</si>
  <si>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</si>
  <si>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</si>
  <si>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</si>
  <si>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</si>
  <si>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</si>
  <si>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</si>
  <si>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</si>
  <si>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</si>
  <si>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</si>
  <si>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</si>
  <si>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</si>
  <si>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</si>
  <si>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</si>
  <si>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</si>
  <si>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</si>
  <si>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</si>
  <si>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</si>
  <si>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</si>
  <si>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</si>
  <si>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</si>
  <si>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</si>
  <si>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</si>
  <si>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</si>
  <si>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</si>
  <si>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</si>
  <si>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</si>
  <si>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</si>
  <si>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</si>
  <si>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</si>
  <si>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</si>
  <si>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</si>
  <si>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</si>
  <si>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</si>
  <si>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</si>
  <si>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</si>
  <si>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</si>
  <si>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</si>
  <si>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</si>
  <si>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</si>
  <si>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</si>
  <si>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</si>
  <si>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</si>
  <si>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</si>
  <si>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</si>
  <si>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</si>
  <si>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</si>
  <si>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</si>
  <si>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</si>
  <si>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</si>
  <si>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</si>
  <si>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</si>
  <si>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</si>
  <si>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</si>
  <si>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</si>
  <si>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</si>
  <si>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</si>
  <si>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</si>
  <si>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</si>
  <si>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</si>
  <si>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</si>
  <si>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</si>
  <si>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</si>
  <si>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</si>
  <si>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</si>
  <si>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</si>
  <si>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</si>
  <si>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</si>
  <si>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</si>
  <si>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</si>
  <si>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</si>
  <si>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</si>
  <si>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</si>
  <si>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</si>
  <si>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</si>
  <si>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</si>
  <si>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</si>
  <si>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</si>
  <si>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</si>
  <si>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</si>
  <si>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</si>
  <si>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</si>
  <si>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</si>
  <si>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* make a practical exercise using runtime compilation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</si>
  <si>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</si>
  <si>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</si>
  <si>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</si>
  <si>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</si>
  <si>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</si>
  <si>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</si>
  <si>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</si>
  <si>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</si>
  <si>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</si>
  <si>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</si>
  <si>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</si>
  <si>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</si>
  <si>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</si>
  <si>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</si>
  <si>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</si>
  <si>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</si>
  <si>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</si>
  <si>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</si>
  <si>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* Exercise: practical exercise make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</si>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</sst>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0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3" fillId="0" borderId="0" xfId="0" applyFont="1" applyAlignment="1">
      <alignment vertical="center" wrapText="1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24" fillId="0" borderId="0" xfId="0" applyNumberFormat="1" applyFont="1" applyAlignment="1">
      <alignment horizontal="left" vertical="top" wrapText="1"/>
    </xf>
    <xf numFmtId="0" fontId="23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67"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66"/>
      <tableStyleElement type="headerRow" dxfId="65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0.42857142857142855</c:v>
                </c:pt>
                <c:pt idx="1">
                  <c:v>0.14285714285714285</c:v>
                </c:pt>
                <c:pt idx="2">
                  <c:v>0.42857142857142855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0.81632653061224492</c:v>
                </c:pt>
                <c:pt idx="1">
                  <c:v>0.12244897959183673</c:v>
                </c:pt>
                <c:pt idx="2">
                  <c:v>5.1020408163265307E-2</c:v>
                </c:pt>
                <c:pt idx="3">
                  <c:v>1.020408163265306E-2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abSelected="1" topLeftCell="A19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80" t="s">
        <v>0</v>
      </c>
      <c r="B1" s="80"/>
      <c r="C1" s="80"/>
    </row>
    <row r="2" spans="1:6" x14ac:dyDescent="0.25">
      <c r="A2" s="80"/>
      <c r="B2" s="80"/>
      <c r="C2" s="80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82" t="s">
        <v>43</v>
      </c>
      <c r="E4" s="82"/>
    </row>
    <row r="5" spans="1:6" x14ac:dyDescent="0.25">
      <c r="A5" s="81" t="s">
        <v>21</v>
      </c>
      <c r="B5" s="81"/>
      <c r="C5" s="81"/>
      <c r="D5" s="81"/>
      <c r="E5" s="81"/>
      <c r="F5" s="81"/>
    </row>
    <row r="6" spans="1:6" x14ac:dyDescent="0.25">
      <c r="A6" s="81"/>
      <c r="B6" s="81"/>
      <c r="C6" s="81"/>
      <c r="D6" s="81"/>
      <c r="E6" s="81"/>
      <c r="F6" s="81"/>
    </row>
    <row r="7" spans="1:6" x14ac:dyDescent="0.25">
      <c r="A7" s="7" t="s">
        <v>24</v>
      </c>
    </row>
    <row r="8" spans="1:6" x14ac:dyDescent="0.25">
      <c r="A8" s="83"/>
      <c r="B8" s="7" t="s">
        <v>25</v>
      </c>
    </row>
    <row r="9" spans="1:6" x14ac:dyDescent="0.25">
      <c r="A9" s="83"/>
      <c r="B9" s="7" t="s">
        <v>23</v>
      </c>
    </row>
    <row r="10" spans="1:6" x14ac:dyDescent="0.25">
      <c r="A10" s="83"/>
      <c r="C10" s="7" t="s">
        <v>35</v>
      </c>
    </row>
    <row r="11" spans="1:6" x14ac:dyDescent="0.25">
      <c r="A11" s="83"/>
      <c r="B11" s="7" t="s">
        <v>22</v>
      </c>
      <c r="C11" s="84"/>
    </row>
    <row r="12" spans="1:6" x14ac:dyDescent="0.25">
      <c r="A12" s="83"/>
      <c r="B12" s="7" t="s">
        <v>26</v>
      </c>
      <c r="C12" s="84"/>
    </row>
    <row r="13" spans="1:6" x14ac:dyDescent="0.25">
      <c r="A13" s="83"/>
      <c r="B13" s="7" t="s">
        <v>46</v>
      </c>
      <c r="C13" s="84"/>
    </row>
    <row r="14" spans="1:6" x14ac:dyDescent="0.25">
      <c r="A14" s="7" t="s">
        <v>27</v>
      </c>
      <c r="C14" s="84"/>
    </row>
    <row r="15" spans="1:6" x14ac:dyDescent="0.25">
      <c r="A15" s="83"/>
      <c r="B15" s="7" t="s">
        <v>28</v>
      </c>
      <c r="C15" s="84"/>
    </row>
    <row r="16" spans="1:6" x14ac:dyDescent="0.25">
      <c r="A16" s="83"/>
      <c r="B16" s="84"/>
      <c r="C16" s="18" t="s">
        <v>31</v>
      </c>
    </row>
    <row r="17" spans="1:4" x14ac:dyDescent="0.25">
      <c r="A17" s="83"/>
      <c r="B17" s="84"/>
      <c r="C17" s="84"/>
      <c r="D17" s="9" t="s">
        <v>40</v>
      </c>
    </row>
    <row r="18" spans="1:4" x14ac:dyDescent="0.25">
      <c r="A18" s="83"/>
      <c r="B18" s="84"/>
      <c r="C18" s="84"/>
      <c r="D18" s="9" t="s">
        <v>39</v>
      </c>
    </row>
    <row r="19" spans="1:4" x14ac:dyDescent="0.25">
      <c r="A19" s="83"/>
      <c r="B19" s="84"/>
      <c r="C19" s="84"/>
      <c r="D19" s="18" t="s">
        <v>22</v>
      </c>
    </row>
    <row r="20" spans="1:4" x14ac:dyDescent="0.25">
      <c r="A20" s="83"/>
      <c r="B20" s="84"/>
      <c r="C20" s="18" t="s">
        <v>32</v>
      </c>
    </row>
    <row r="21" spans="1:4" x14ac:dyDescent="0.25">
      <c r="A21" s="83"/>
      <c r="B21" s="84"/>
      <c r="C21" s="84"/>
      <c r="D21" s="9" t="s">
        <v>40</v>
      </c>
    </row>
    <row r="22" spans="1:4" x14ac:dyDescent="0.25">
      <c r="A22" s="83"/>
      <c r="B22" s="84"/>
      <c r="C22" s="84"/>
      <c r="D22" s="9" t="s">
        <v>39</v>
      </c>
    </row>
    <row r="23" spans="1:4" x14ac:dyDescent="0.25">
      <c r="A23" s="83"/>
      <c r="B23" s="84"/>
      <c r="C23" s="84"/>
      <c r="D23" s="18" t="s">
        <v>22</v>
      </c>
    </row>
    <row r="24" spans="1:4" x14ac:dyDescent="0.25">
      <c r="A24" s="83"/>
      <c r="B24" s="7" t="s">
        <v>29</v>
      </c>
      <c r="C24" s="84"/>
      <c r="D24" s="84"/>
    </row>
    <row r="25" spans="1:4" x14ac:dyDescent="0.25">
      <c r="A25" s="83"/>
      <c r="B25" s="84"/>
      <c r="C25" s="7" t="s">
        <v>33</v>
      </c>
      <c r="D25" s="84"/>
    </row>
    <row r="26" spans="1:4" x14ac:dyDescent="0.25">
      <c r="A26" s="83"/>
      <c r="B26" s="84"/>
      <c r="C26" s="84"/>
      <c r="D26" s="9" t="s">
        <v>40</v>
      </c>
    </row>
    <row r="27" spans="1:4" x14ac:dyDescent="0.25">
      <c r="A27" s="83"/>
      <c r="B27" s="84"/>
      <c r="C27" s="84"/>
      <c r="D27" s="7" t="s">
        <v>39</v>
      </c>
    </row>
    <row r="28" spans="1:4" x14ac:dyDescent="0.25">
      <c r="A28" s="83"/>
      <c r="B28" s="84"/>
      <c r="C28" s="84"/>
      <c r="D28" s="18" t="s">
        <v>22</v>
      </c>
    </row>
    <row r="29" spans="1:4" x14ac:dyDescent="0.25">
      <c r="A29" s="83"/>
      <c r="B29" s="84"/>
      <c r="C29" s="7" t="s">
        <v>34</v>
      </c>
    </row>
    <row r="30" spans="1:4" x14ac:dyDescent="0.25">
      <c r="A30" s="83"/>
      <c r="B30" s="84"/>
      <c r="C30" s="84"/>
      <c r="D30" s="7" t="s">
        <v>40</v>
      </c>
    </row>
    <row r="31" spans="1:4" x14ac:dyDescent="0.25">
      <c r="A31" s="83"/>
      <c r="B31" s="84"/>
      <c r="C31" s="84"/>
      <c r="D31" s="7" t="s">
        <v>39</v>
      </c>
    </row>
    <row r="32" spans="1:4" x14ac:dyDescent="0.25">
      <c r="A32" s="83"/>
      <c r="B32" s="84"/>
      <c r="C32" s="84"/>
      <c r="D32" s="7" t="s">
        <v>22</v>
      </c>
    </row>
    <row r="33" spans="1:4" x14ac:dyDescent="0.25">
      <c r="A33" s="83"/>
      <c r="B33" s="7" t="s">
        <v>30</v>
      </c>
      <c r="C33" s="84"/>
      <c r="D33" s="84"/>
    </row>
    <row r="34" spans="1:4" x14ac:dyDescent="0.25">
      <c r="A34" s="83"/>
      <c r="B34" s="84"/>
      <c r="C34" s="7" t="s">
        <v>33</v>
      </c>
      <c r="D34" s="84"/>
    </row>
    <row r="35" spans="1:4" x14ac:dyDescent="0.25">
      <c r="A35" s="83"/>
      <c r="B35" s="84"/>
      <c r="C35" s="85"/>
      <c r="D35" s="18" t="s">
        <v>40</v>
      </c>
    </row>
    <row r="36" spans="1:4" x14ac:dyDescent="0.25">
      <c r="A36" s="83"/>
      <c r="B36" s="84"/>
      <c r="C36" s="85"/>
      <c r="D36" s="7" t="s">
        <v>39</v>
      </c>
    </row>
    <row r="37" spans="1:4" x14ac:dyDescent="0.25">
      <c r="A37" s="83"/>
      <c r="B37" s="84"/>
      <c r="C37" s="85"/>
      <c r="D37" s="18" t="s">
        <v>22</v>
      </c>
    </row>
    <row r="38" spans="1:4" x14ac:dyDescent="0.25">
      <c r="A38" s="83"/>
      <c r="B38" s="84"/>
      <c r="C38" s="6" t="s">
        <v>34</v>
      </c>
    </row>
    <row r="39" spans="1:4" x14ac:dyDescent="0.25">
      <c r="A39" s="83"/>
      <c r="B39" s="84"/>
      <c r="C39" s="84"/>
      <c r="D39" s="6" t="s">
        <v>40</v>
      </c>
    </row>
    <row r="40" spans="1:4" x14ac:dyDescent="0.25">
      <c r="A40" s="83"/>
      <c r="B40" s="84"/>
      <c r="C40" s="84"/>
      <c r="D40" s="6" t="s">
        <v>39</v>
      </c>
    </row>
    <row r="41" spans="1:4" x14ac:dyDescent="0.25">
      <c r="A41" s="83"/>
      <c r="B41" s="84"/>
      <c r="C41" s="84"/>
      <c r="D41" s="6" t="s">
        <v>22</v>
      </c>
    </row>
    <row r="42" spans="1:4" x14ac:dyDescent="0.25">
      <c r="A42" s="7" t="s">
        <v>36</v>
      </c>
      <c r="B42" s="84"/>
      <c r="C42" s="84"/>
    </row>
    <row r="43" spans="1:4" x14ac:dyDescent="0.25">
      <c r="B43" s="7" t="s">
        <v>37</v>
      </c>
      <c r="C43" s="84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  <mergeCell ref="B16:B23"/>
    <mergeCell ref="C11:C15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"/>
  <sheetViews>
    <sheetView topLeftCell="A8" workbookViewId="0">
      <pane xSplit="1" topLeftCell="E1" activePane="topRight" state="frozen"/>
      <selection pane="topRight" activeCell="G6" sqref="G6"/>
    </sheetView>
  </sheetViews>
  <sheetFormatPr defaultRowHeight="15" x14ac:dyDescent="0.25"/>
  <cols>
    <col min="1" max="1" width="32.5703125" style="1" customWidth="1"/>
    <col min="2" max="9" width="32.5703125" customWidth="1"/>
    <col min="10" max="10" width="34.7109375" customWidth="1"/>
    <col min="11" max="11" width="35.28515625" customWidth="1"/>
    <col min="12" max="14" width="32.5703125" customWidth="1"/>
  </cols>
  <sheetData>
    <row r="1" spans="1:12" ht="34.5" customHeight="1" x14ac:dyDescent="0.25">
      <c r="A1" s="5" t="s">
        <v>13</v>
      </c>
      <c r="B1" s="86" t="s">
        <v>1</v>
      </c>
      <c r="C1" s="86"/>
      <c r="D1" s="86"/>
      <c r="E1" s="86"/>
      <c r="F1" s="87" t="s">
        <v>16</v>
      </c>
      <c r="G1" s="87"/>
      <c r="H1" s="87"/>
      <c r="I1" s="87"/>
      <c r="J1" s="87"/>
      <c r="K1" s="87"/>
      <c r="L1" s="54" t="s">
        <v>126</v>
      </c>
    </row>
    <row r="2" spans="1:1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2" t="s">
        <v>18</v>
      </c>
      <c r="I2" s="2" t="s">
        <v>19</v>
      </c>
      <c r="J2" s="2" t="s">
        <v>76</v>
      </c>
      <c r="K2" s="2" t="s">
        <v>77</v>
      </c>
    </row>
    <row r="3" spans="1:1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3" t="s">
        <v>15</v>
      </c>
      <c r="I3" s="3" t="s">
        <v>15</v>
      </c>
      <c r="J3" s="3" t="s">
        <v>78</v>
      </c>
      <c r="K3" s="16" t="s">
        <v>78</v>
      </c>
    </row>
    <row r="4" spans="1:1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3" t="s">
        <v>6</v>
      </c>
      <c r="I4" s="3" t="s">
        <v>6</v>
      </c>
      <c r="J4" s="3" t="s">
        <v>6</v>
      </c>
      <c r="K4" s="16" t="s">
        <v>6</v>
      </c>
    </row>
    <row r="5" spans="1:12" s="3" customFormat="1" ht="37.5" customHeight="1" x14ac:dyDescent="0.25">
      <c r="A5" s="2" t="s">
        <v>3</v>
      </c>
      <c r="B5" s="3" t="s">
        <v>7</v>
      </c>
      <c r="C5" s="3" t="s">
        <v>7</v>
      </c>
      <c r="D5" s="3" t="s">
        <v>7</v>
      </c>
      <c r="E5" s="3" t="s">
        <v>7</v>
      </c>
      <c r="F5" s="3" t="s">
        <v>7</v>
      </c>
      <c r="G5" s="3" t="s">
        <v>7</v>
      </c>
      <c r="H5" s="3" t="s">
        <v>7</v>
      </c>
      <c r="I5" s="3" t="s">
        <v>6</v>
      </c>
      <c r="J5" s="16" t="s">
        <v>6</v>
      </c>
      <c r="K5" s="16" t="s">
        <v>6</v>
      </c>
    </row>
    <row r="6" spans="1:12" s="3" customFormat="1" ht="134.25" customHeight="1" x14ac:dyDescent="0.25">
      <c r="A6" s="2" t="s">
        <v>8</v>
      </c>
      <c r="B6" s="4" t="s">
        <v>142</v>
      </c>
      <c r="C6" s="4" t="s">
        <v>143</v>
      </c>
      <c r="D6" s="3" t="s">
        <v>79</v>
      </c>
      <c r="E6" s="3" t="s">
        <v>80</v>
      </c>
      <c r="F6" s="4" t="s">
        <v>81</v>
      </c>
      <c r="G6" s="4" t="s">
        <v>222</v>
      </c>
      <c r="H6" s="4" t="s">
        <v>82</v>
      </c>
      <c r="I6" s="4" t="s">
        <v>20</v>
      </c>
      <c r="J6" s="22" t="s">
        <v>101</v>
      </c>
      <c r="K6" s="17" t="s">
        <v>83</v>
      </c>
    </row>
  </sheetData>
  <mergeCells count="2">
    <mergeCell ref="B1:E1"/>
    <mergeCell ref="F1:K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topLeftCell="A7"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88" t="s">
        <v>119</v>
      </c>
      <c r="B1" s="88"/>
      <c r="C1" s="88"/>
      <c r="D1" s="88"/>
      <c r="H1" s="88" t="s">
        <v>124</v>
      </c>
      <c r="I1" s="88"/>
      <c r="J1" s="88"/>
      <c r="K1" s="88"/>
      <c r="L1" s="88"/>
    </row>
    <row r="2" spans="1:12" x14ac:dyDescent="0.25">
      <c r="A2" s="88"/>
      <c r="B2" s="88"/>
      <c r="C2" s="88"/>
      <c r="D2" s="88"/>
      <c r="H2" s="88"/>
      <c r="I2" s="88"/>
      <c r="J2" s="88"/>
      <c r="K2" s="88"/>
      <c r="L2" s="88"/>
    </row>
    <row r="3" spans="1:12" x14ac:dyDescent="0.25">
      <c r="A3" t="s">
        <v>60</v>
      </c>
      <c r="B3" t="s">
        <v>120</v>
      </c>
      <c r="C3" t="s">
        <v>121</v>
      </c>
      <c r="H3" s="38" t="s">
        <v>60</v>
      </c>
      <c r="I3" s="38" t="s">
        <v>120</v>
      </c>
      <c r="J3" s="38" t="s">
        <v>121</v>
      </c>
    </row>
    <row r="4" spans="1:12" x14ac:dyDescent="0.25">
      <c r="A4" s="25" t="s">
        <v>97</v>
      </c>
      <c r="B4" s="39">
        <f>COUNTIF(Planning!M3:M1048576,"Yes")</f>
        <v>9</v>
      </c>
      <c r="C4" s="42">
        <f>B4/B7</f>
        <v>0.42857142857142855</v>
      </c>
      <c r="H4" s="27" t="s">
        <v>61</v>
      </c>
      <c r="I4" s="46">
        <f>COUNTIF(Checklist!D2:D1048576,"Completed")</f>
        <v>80</v>
      </c>
      <c r="J4" s="51">
        <f>I4/I8</f>
        <v>0.81632653061224492</v>
      </c>
    </row>
    <row r="5" spans="1:12" x14ac:dyDescent="0.25">
      <c r="A5" s="25" t="s">
        <v>85</v>
      </c>
      <c r="B5" s="40">
        <f>COUNTIF(Planning!M3:M1048576,"No")</f>
        <v>3</v>
      </c>
      <c r="C5" s="44">
        <f>B5/B7</f>
        <v>0.14285714285714285</v>
      </c>
      <c r="H5" s="27" t="s">
        <v>65</v>
      </c>
      <c r="I5" s="47">
        <f>COUNTIF(Checklist!D2:D1048576,"Not Started")</f>
        <v>12</v>
      </c>
      <c r="J5" s="52">
        <f>I5/I8</f>
        <v>0.12244897959183673</v>
      </c>
    </row>
    <row r="6" spans="1:12" x14ac:dyDescent="0.25">
      <c r="A6" s="25" t="s">
        <v>109</v>
      </c>
      <c r="B6" s="41">
        <f>COUNTIF(Planning!M3:M1048576,"Some")</f>
        <v>9</v>
      </c>
      <c r="C6" s="43">
        <f>B6/B7</f>
        <v>0.42857142857142855</v>
      </c>
      <c r="H6" s="27" t="s">
        <v>123</v>
      </c>
      <c r="I6" s="48">
        <f>COUNTIF(Checklist!D2:D1048576,"working")</f>
        <v>5</v>
      </c>
      <c r="J6" s="50">
        <f>I6/I8</f>
        <v>5.1020408163265307E-2</v>
      </c>
    </row>
    <row r="7" spans="1:12" x14ac:dyDescent="0.25">
      <c r="A7" s="38" t="s">
        <v>122</v>
      </c>
      <c r="B7">
        <f>SUM(B4:B6)</f>
        <v>21</v>
      </c>
      <c r="H7" s="27" t="s">
        <v>125</v>
      </c>
      <c r="I7" s="49">
        <f>COUNTIF(Checklist!D2:D1048576,"Fixing")</f>
        <v>1</v>
      </c>
      <c r="J7" s="53">
        <f>I7/I8</f>
        <v>1.020408163265306E-2</v>
      </c>
    </row>
    <row r="8" spans="1:12" x14ac:dyDescent="0.25">
      <c r="H8" s="38" t="s">
        <v>122</v>
      </c>
      <c r="I8" s="45">
        <f>SUM(I4:I7)</f>
        <v>98</v>
      </c>
      <c r="J8" s="45"/>
    </row>
  </sheetData>
  <mergeCells count="2">
    <mergeCell ref="A1:D2"/>
    <mergeCell ref="H1:L2"/>
  </mergeCells>
  <conditionalFormatting sqref="A4">
    <cfRule type="cellIs" dxfId="64" priority="29" operator="equal">
      <formula>"Some"</formula>
    </cfRule>
    <cfRule type="cellIs" dxfId="63" priority="30" operator="equal">
      <formula>"Some"</formula>
    </cfRule>
    <cfRule type="cellIs" dxfId="62" priority="31" operator="equal">
      <formula>"No"</formula>
    </cfRule>
    <cfRule type="cellIs" dxfId="61" priority="32" operator="equal">
      <formula>"Yes"</formula>
    </cfRule>
  </conditionalFormatting>
  <conditionalFormatting sqref="A5">
    <cfRule type="cellIs" dxfId="60" priority="25" operator="equal">
      <formula>"Some"</formula>
    </cfRule>
    <cfRule type="cellIs" dxfId="59" priority="26" operator="equal">
      <formula>"Some"</formula>
    </cfRule>
    <cfRule type="cellIs" dxfId="58" priority="27" operator="equal">
      <formula>"No"</formula>
    </cfRule>
    <cfRule type="cellIs" dxfId="57" priority="28" operator="equal">
      <formula>"Yes"</formula>
    </cfRule>
  </conditionalFormatting>
  <conditionalFormatting sqref="A6">
    <cfRule type="cellIs" dxfId="56" priority="21" operator="equal">
      <formula>"Some"</formula>
    </cfRule>
    <cfRule type="cellIs" dxfId="55" priority="22" operator="equal">
      <formula>"Some"</formula>
    </cfRule>
    <cfRule type="cellIs" dxfId="54" priority="23" operator="equal">
      <formula>"No"</formula>
    </cfRule>
    <cfRule type="cellIs" dxfId="53" priority="24" operator="equal">
      <formula>"Yes"</formula>
    </cfRule>
  </conditionalFormatting>
  <conditionalFormatting sqref="H4">
    <cfRule type="cellIs" dxfId="52" priority="16" operator="equal">
      <formula>"Fixing"</formula>
    </cfRule>
    <cfRule type="cellIs" dxfId="51" priority="17" operator="equal">
      <formula>"Working"</formula>
    </cfRule>
    <cfRule type="cellIs" dxfId="50" priority="18" operator="equal">
      <formula>"Not started"</formula>
    </cfRule>
    <cfRule type="cellIs" dxfId="49" priority="19" operator="equal">
      <formula>"Completed"</formula>
    </cfRule>
    <cfRule type="cellIs" dxfId="48" priority="20" operator="equal">
      <formula>"Completed"</formula>
    </cfRule>
  </conditionalFormatting>
  <conditionalFormatting sqref="H5">
    <cfRule type="cellIs" dxfId="47" priority="11" operator="equal">
      <formula>"Fixing"</formula>
    </cfRule>
    <cfRule type="cellIs" dxfId="46" priority="12" operator="equal">
      <formula>"Working"</formula>
    </cfRule>
    <cfRule type="cellIs" dxfId="45" priority="13" operator="equal">
      <formula>"Not started"</formula>
    </cfRule>
    <cfRule type="cellIs" dxfId="44" priority="14" operator="equal">
      <formula>"Completed"</formula>
    </cfRule>
    <cfRule type="cellIs" dxfId="43" priority="15" operator="equal">
      <formula>"Completed"</formula>
    </cfRule>
  </conditionalFormatting>
  <conditionalFormatting sqref="H6">
    <cfRule type="cellIs" dxfId="42" priority="6" operator="equal">
      <formula>"Fixing"</formula>
    </cfRule>
    <cfRule type="cellIs" dxfId="41" priority="7" operator="equal">
      <formula>"Working"</formula>
    </cfRule>
    <cfRule type="cellIs" dxfId="40" priority="8" operator="equal">
      <formula>"Not started"</formula>
    </cfRule>
    <cfRule type="cellIs" dxfId="39" priority="9" operator="equal">
      <formula>"Completed"</formula>
    </cfRule>
    <cfRule type="cellIs" dxfId="38" priority="10" operator="equal">
      <formula>"Completed"</formula>
    </cfRule>
  </conditionalFormatting>
  <conditionalFormatting sqref="H7">
    <cfRule type="cellIs" dxfId="37" priority="1" operator="equal">
      <formula>"Fixing"</formula>
    </cfRule>
    <cfRule type="cellIs" dxfId="36" priority="2" operator="equal">
      <formula>"Working"</formula>
    </cfRule>
    <cfRule type="cellIs" dxfId="35" priority="3" operator="equal">
      <formula>"Not started"</formula>
    </cfRule>
    <cfRule type="cellIs" dxfId="34" priority="4" operator="equal">
      <formula>"Completed"</formula>
    </cfRule>
    <cfRule type="cellIs" dxfId="33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26"/>
  <sheetViews>
    <sheetView workbookViewId="0">
      <pane ySplit="2" topLeftCell="A3" activePane="bottomLeft" state="frozen"/>
      <selection pane="bottomLeft" activeCell="G23" sqref="G23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89" t="s">
        <v>13</v>
      </c>
      <c r="B1" s="89"/>
      <c r="C1" s="89"/>
      <c r="D1" s="89"/>
      <c r="E1" s="89"/>
      <c r="F1" s="89"/>
      <c r="G1" s="89"/>
      <c r="H1" s="89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106</v>
      </c>
      <c r="J2" s="62" t="s">
        <v>54</v>
      </c>
      <c r="K2" s="63" t="s">
        <v>88</v>
      </c>
      <c r="L2" s="23" t="s">
        <v>69</v>
      </c>
      <c r="M2" s="24" t="s">
        <v>84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90</v>
      </c>
      <c r="L3" s="32" t="s">
        <v>68</v>
      </c>
      <c r="M3" s="25" t="s">
        <v>97</v>
      </c>
    </row>
    <row r="4" spans="1:26" ht="61.5" customHeight="1" x14ac:dyDescent="0.25">
      <c r="C4" s="30" t="s">
        <v>230</v>
      </c>
      <c r="J4" s="70" t="s">
        <v>59</v>
      </c>
      <c r="L4" s="32" t="s">
        <v>95</v>
      </c>
      <c r="M4" s="25" t="s">
        <v>85</v>
      </c>
    </row>
    <row r="5" spans="1:26" ht="61.5" customHeight="1" x14ac:dyDescent="0.25">
      <c r="C5" s="30" t="s">
        <v>98</v>
      </c>
      <c r="E5" s="31" t="s">
        <v>100</v>
      </c>
      <c r="F5" s="30" t="s">
        <v>89</v>
      </c>
      <c r="J5" s="70" t="s">
        <v>90</v>
      </c>
      <c r="L5" s="33" t="s">
        <v>96</v>
      </c>
      <c r="M5" s="25" t="s">
        <v>109</v>
      </c>
    </row>
    <row r="6" spans="1:26" ht="61.5" customHeight="1" x14ac:dyDescent="0.25">
      <c r="D6" s="31" t="s">
        <v>110</v>
      </c>
      <c r="J6" s="70" t="s">
        <v>102</v>
      </c>
      <c r="K6" s="60" t="s">
        <v>102</v>
      </c>
      <c r="L6" s="35" t="s">
        <v>105</v>
      </c>
      <c r="M6" s="25" t="s">
        <v>97</v>
      </c>
    </row>
    <row r="7" spans="1:26" ht="61.5" customHeight="1" x14ac:dyDescent="0.25">
      <c r="C7" s="31" t="s">
        <v>108</v>
      </c>
      <c r="D7" s="31" t="s">
        <v>111</v>
      </c>
      <c r="I7" s="31" t="s">
        <v>107</v>
      </c>
      <c r="J7" s="70" t="s">
        <v>112</v>
      </c>
      <c r="L7" s="35" t="s">
        <v>117</v>
      </c>
      <c r="M7" s="25" t="s">
        <v>97</v>
      </c>
    </row>
    <row r="8" spans="1:26" ht="61.5" customHeight="1" x14ac:dyDescent="0.25">
      <c r="C8" s="30" t="s">
        <v>131</v>
      </c>
      <c r="E8" s="30"/>
      <c r="J8" s="70" t="s">
        <v>128</v>
      </c>
      <c r="L8" s="35" t="s">
        <v>133</v>
      </c>
      <c r="M8" s="25" t="s">
        <v>109</v>
      </c>
    </row>
    <row r="9" spans="1:26" ht="61.5" customHeight="1" x14ac:dyDescent="0.25">
      <c r="C9" s="31" t="s">
        <v>140</v>
      </c>
      <c r="E9" s="31" t="s">
        <v>135</v>
      </c>
      <c r="J9" s="70" t="s">
        <v>134</v>
      </c>
      <c r="K9" s="60" t="s">
        <v>134</v>
      </c>
      <c r="L9" s="35" t="s">
        <v>139</v>
      </c>
      <c r="M9" s="25" t="s">
        <v>97</v>
      </c>
    </row>
    <row r="10" spans="1:26" s="57" customFormat="1" ht="61.5" customHeight="1" x14ac:dyDescent="0.25">
      <c r="A10" s="36"/>
      <c r="B10" s="36"/>
      <c r="C10" s="36"/>
      <c r="D10" s="36"/>
      <c r="E10" s="55" t="s">
        <v>150</v>
      </c>
      <c r="F10" s="36"/>
      <c r="G10" s="36"/>
      <c r="H10" s="36"/>
      <c r="I10" s="36"/>
      <c r="J10" s="70">
        <v>42529</v>
      </c>
      <c r="K10" s="60">
        <v>42529</v>
      </c>
      <c r="L10" s="35" t="s">
        <v>144</v>
      </c>
      <c r="M10" s="56" t="s">
        <v>97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151</v>
      </c>
      <c r="J11" s="70">
        <v>42621</v>
      </c>
      <c r="K11" s="60">
        <v>42712</v>
      </c>
      <c r="L11" s="35" t="s">
        <v>154</v>
      </c>
      <c r="M11" s="25" t="s">
        <v>97</v>
      </c>
    </row>
    <row r="12" spans="1:26" ht="61.5" customHeight="1" x14ac:dyDescent="0.25">
      <c r="B12" s="30" t="s">
        <v>167</v>
      </c>
      <c r="C12" s="55" t="s">
        <v>170</v>
      </c>
      <c r="E12" s="55" t="s">
        <v>166</v>
      </c>
      <c r="J12" s="70">
        <v>42651</v>
      </c>
      <c r="L12" s="35" t="s">
        <v>157</v>
      </c>
      <c r="M12" s="25" t="s">
        <v>109</v>
      </c>
    </row>
    <row r="13" spans="1:26" ht="77.25" customHeight="1" x14ac:dyDescent="0.25">
      <c r="C13" s="30" t="s">
        <v>185</v>
      </c>
      <c r="J13" s="70">
        <v>42712</v>
      </c>
      <c r="L13" s="35" t="s">
        <v>174</v>
      </c>
      <c r="M13" s="25" t="s">
        <v>109</v>
      </c>
    </row>
    <row r="14" spans="1:26" ht="77.25" customHeight="1" x14ac:dyDescent="0.25">
      <c r="B14" s="31" t="s">
        <v>221</v>
      </c>
      <c r="J14" s="70" t="s">
        <v>186</v>
      </c>
      <c r="K14" s="60" t="s">
        <v>196</v>
      </c>
      <c r="L14" s="35" t="s">
        <v>187</v>
      </c>
      <c r="M14" s="25" t="s">
        <v>97</v>
      </c>
    </row>
    <row r="15" spans="1:26" ht="77.25" customHeight="1" x14ac:dyDescent="0.25">
      <c r="B15" s="90" t="s">
        <v>199</v>
      </c>
      <c r="C15" s="90"/>
      <c r="E15" s="55" t="s">
        <v>200</v>
      </c>
      <c r="J15" s="70" t="s">
        <v>196</v>
      </c>
      <c r="L15" s="35" t="s">
        <v>198</v>
      </c>
      <c r="M15" s="25" t="s">
        <v>109</v>
      </c>
    </row>
    <row r="16" spans="1:26" ht="77.25" customHeight="1" x14ac:dyDescent="0.25">
      <c r="C16" s="30" t="s">
        <v>213</v>
      </c>
      <c r="J16" s="70" t="s">
        <v>212</v>
      </c>
      <c r="L16" s="35" t="s">
        <v>228</v>
      </c>
      <c r="M16" s="25" t="s">
        <v>109</v>
      </c>
    </row>
    <row r="17" spans="3:13" ht="77.25" customHeight="1" x14ac:dyDescent="0.25">
      <c r="C17" s="30" t="s">
        <v>232</v>
      </c>
      <c r="J17" s="70" t="s">
        <v>225</v>
      </c>
      <c r="L17" s="35" t="s">
        <v>227</v>
      </c>
      <c r="M17" s="25" t="s">
        <v>109</v>
      </c>
    </row>
    <row r="18" spans="3:13" ht="77.25" customHeight="1" x14ac:dyDescent="0.25">
      <c r="C18" s="55" t="s">
        <v>248</v>
      </c>
      <c r="E18" s="55" t="s">
        <v>241</v>
      </c>
      <c r="J18" s="70" t="s">
        <v>235</v>
      </c>
      <c r="L18" s="35" t="s">
        <v>236</v>
      </c>
      <c r="M18" s="25" t="s">
        <v>109</v>
      </c>
    </row>
    <row r="19" spans="3:13" ht="77.25" customHeight="1" x14ac:dyDescent="0.25">
      <c r="E19" s="30" t="s">
        <v>245</v>
      </c>
      <c r="J19" s="70" t="s">
        <v>242</v>
      </c>
      <c r="L19" s="35" t="s">
        <v>244</v>
      </c>
      <c r="M19" s="25" t="s">
        <v>85</v>
      </c>
    </row>
    <row r="20" spans="3:13" ht="77.25" customHeight="1" x14ac:dyDescent="0.25">
      <c r="C20" s="30" t="s">
        <v>254</v>
      </c>
      <c r="F20" s="76" t="s">
        <v>252</v>
      </c>
      <c r="J20" s="70" t="s">
        <v>249</v>
      </c>
      <c r="L20" s="35" t="s">
        <v>250</v>
      </c>
      <c r="M20" s="25" t="s">
        <v>85</v>
      </c>
    </row>
    <row r="21" spans="3:13" ht="60" customHeight="1" x14ac:dyDescent="0.25">
      <c r="C21" s="78" t="s">
        <v>256</v>
      </c>
      <c r="J21" s="70" t="s">
        <v>255</v>
      </c>
      <c r="K21" s="60" t="s">
        <v>266</v>
      </c>
      <c r="L21" s="35" t="s">
        <v>269</v>
      </c>
      <c r="M21" s="25" t="s">
        <v>97</v>
      </c>
    </row>
    <row r="22" spans="3:13" ht="60" customHeight="1" x14ac:dyDescent="0.25">
      <c r="H22" s="78" t="s">
        <v>270</v>
      </c>
      <c r="J22" s="70" t="s">
        <v>266</v>
      </c>
      <c r="K22" s="60" t="s">
        <v>266</v>
      </c>
      <c r="L22" s="35" t="s">
        <v>268</v>
      </c>
      <c r="M22" s="25" t="s">
        <v>97</v>
      </c>
    </row>
    <row r="23" spans="3:13" ht="60" customHeight="1" x14ac:dyDescent="0.25">
      <c r="F23" s="79" t="s">
        <v>278</v>
      </c>
      <c r="J23" s="70" t="s">
        <v>274</v>
      </c>
      <c r="L23" s="35" t="s">
        <v>277</v>
      </c>
      <c r="M23" s="25" t="s">
        <v>109</v>
      </c>
    </row>
    <row r="24" spans="3:13" ht="60" customHeight="1" x14ac:dyDescent="0.25"/>
    <row r="25" spans="3:13" ht="60" customHeight="1" x14ac:dyDescent="0.25"/>
    <row r="26" spans="3:13" ht="60" customHeight="1" x14ac:dyDescent="0.25"/>
  </sheetData>
  <mergeCells count="2">
    <mergeCell ref="A1:H1"/>
    <mergeCell ref="B15:C15"/>
  </mergeCells>
  <conditionalFormatting sqref="M1:M9 M11:M1048576">
    <cfRule type="cellIs" dxfId="32" priority="5" operator="equal">
      <formula>"Some"</formula>
    </cfRule>
    <cfRule type="cellIs" dxfId="31" priority="6" operator="equal">
      <formula>"Some"</formula>
    </cfRule>
    <cfRule type="cellIs" dxfId="30" priority="7" operator="equal">
      <formula>"No"</formula>
    </cfRule>
    <cfRule type="cellIs" dxfId="29" priority="8" operator="equal">
      <formula>"Yes"</formula>
    </cfRule>
  </conditionalFormatting>
  <conditionalFormatting sqref="M10">
    <cfRule type="cellIs" dxfId="28" priority="1" operator="equal">
      <formula>"Some"</formula>
    </cfRule>
  </conditionalFormatting>
  <conditionalFormatting sqref="M10">
    <cfRule type="cellIs" dxfId="27" priority="2" operator="equal">
      <formula>"Some"</formula>
    </cfRule>
  </conditionalFormatting>
  <conditionalFormatting sqref="M10">
    <cfRule type="cellIs" dxfId="26" priority="3" operator="equal">
      <formula>"No"</formula>
    </cfRule>
  </conditionalFormatting>
  <conditionalFormatting sqref="M10">
    <cfRule type="cellIs" dxfId="25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00"/>
  <sheetViews>
    <sheetView workbookViewId="0">
      <pane xSplit="1" ySplit="2" topLeftCell="B93" activePane="bottomRight" state="frozen"/>
      <selection pane="topRight" activeCell="B1" sqref="B1"/>
      <selection pane="bottomLeft" activeCell="A3" sqref="A3"/>
      <selection pane="bottomRight" activeCell="D100" sqref="D100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86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177</v>
      </c>
    </row>
    <row r="3" spans="1:6" ht="24" x14ac:dyDescent="0.2">
      <c r="A3" s="98" t="s">
        <v>53</v>
      </c>
      <c r="B3" s="105" t="s">
        <v>59</v>
      </c>
      <c r="C3" s="13" t="s">
        <v>75</v>
      </c>
      <c r="D3" s="27" t="s">
        <v>61</v>
      </c>
      <c r="E3" s="97" t="s">
        <v>71</v>
      </c>
    </row>
    <row r="4" spans="1:6" ht="12" customHeight="1" x14ac:dyDescent="0.2">
      <c r="A4" s="98"/>
      <c r="B4" s="105"/>
      <c r="C4" s="13" t="s">
        <v>62</v>
      </c>
      <c r="D4" s="27" t="s">
        <v>61</v>
      </c>
      <c r="E4" s="97"/>
    </row>
    <row r="5" spans="1:6" ht="12" customHeight="1" x14ac:dyDescent="0.2">
      <c r="A5" s="98"/>
      <c r="B5" s="105"/>
      <c r="C5" s="13" t="s">
        <v>63</v>
      </c>
      <c r="D5" s="27" t="s">
        <v>61</v>
      </c>
      <c r="E5" s="97"/>
    </row>
    <row r="6" spans="1:6" ht="12" customHeight="1" x14ac:dyDescent="0.2">
      <c r="A6" s="98"/>
      <c r="B6" s="105"/>
      <c r="C6" s="13" t="s">
        <v>64</v>
      </c>
      <c r="D6" s="27" t="s">
        <v>61</v>
      </c>
      <c r="E6" s="97"/>
    </row>
    <row r="7" spans="1:6" ht="12" customHeight="1" x14ac:dyDescent="0.2">
      <c r="A7" s="98"/>
      <c r="B7" s="105"/>
      <c r="C7" s="13" t="s">
        <v>72</v>
      </c>
      <c r="D7" s="27" t="s">
        <v>61</v>
      </c>
      <c r="E7" s="97"/>
    </row>
    <row r="8" spans="1:6" ht="12" customHeight="1" x14ac:dyDescent="0.2">
      <c r="A8" s="98"/>
      <c r="B8" s="105"/>
      <c r="C8" s="13" t="s">
        <v>67</v>
      </c>
      <c r="D8" s="27" t="s">
        <v>61</v>
      </c>
      <c r="E8" s="97"/>
    </row>
    <row r="9" spans="1:6" ht="12" customHeight="1" x14ac:dyDescent="0.2">
      <c r="A9" s="98"/>
      <c r="B9" s="105"/>
      <c r="C9" s="13" t="s">
        <v>66</v>
      </c>
      <c r="D9" s="27" t="s">
        <v>61</v>
      </c>
      <c r="E9" s="97"/>
    </row>
    <row r="10" spans="1:6" ht="15" customHeight="1" x14ac:dyDescent="0.2">
      <c r="A10" s="98"/>
      <c r="B10" s="105"/>
      <c r="C10" s="13" t="s">
        <v>73</v>
      </c>
      <c r="D10" s="27" t="s">
        <v>61</v>
      </c>
      <c r="E10" s="97"/>
    </row>
    <row r="11" spans="1:6" x14ac:dyDescent="0.2">
      <c r="A11" s="98"/>
      <c r="B11" s="66" t="s">
        <v>90</v>
      </c>
      <c r="C11" s="13" t="s">
        <v>74</v>
      </c>
      <c r="D11" s="27" t="s">
        <v>61</v>
      </c>
      <c r="E11" s="97"/>
    </row>
    <row r="12" spans="1:6" x14ac:dyDescent="0.2">
      <c r="A12" s="98" t="s">
        <v>59</v>
      </c>
      <c r="C12" s="13" t="s">
        <v>91</v>
      </c>
      <c r="D12" s="27" t="s">
        <v>65</v>
      </c>
      <c r="E12" s="97" t="s">
        <v>87</v>
      </c>
    </row>
    <row r="13" spans="1:6" ht="24" x14ac:dyDescent="0.2">
      <c r="A13" s="98"/>
      <c r="B13" s="67" t="s">
        <v>225</v>
      </c>
      <c r="C13" s="13" t="s">
        <v>92</v>
      </c>
      <c r="D13" s="27" t="s">
        <v>61</v>
      </c>
      <c r="E13" s="97"/>
    </row>
    <row r="14" spans="1:6" ht="24" x14ac:dyDescent="0.2">
      <c r="A14" s="98" t="s">
        <v>90</v>
      </c>
      <c r="B14" s="67">
        <v>42621</v>
      </c>
      <c r="C14" s="13" t="s">
        <v>127</v>
      </c>
      <c r="D14" s="27" t="s">
        <v>61</v>
      </c>
      <c r="E14" s="97" t="s">
        <v>93</v>
      </c>
    </row>
    <row r="15" spans="1:6" ht="24" x14ac:dyDescent="0.2">
      <c r="A15" s="98"/>
      <c r="C15" s="13" t="s">
        <v>94</v>
      </c>
      <c r="D15" s="27" t="s">
        <v>65</v>
      </c>
      <c r="E15" s="97"/>
    </row>
    <row r="16" spans="1:6" x14ac:dyDescent="0.2">
      <c r="A16" s="98"/>
      <c r="C16" s="13" t="s">
        <v>99</v>
      </c>
      <c r="D16" s="27" t="s">
        <v>65</v>
      </c>
      <c r="E16" s="97"/>
    </row>
    <row r="17" spans="1:5" ht="24" x14ac:dyDescent="0.2">
      <c r="A17" s="65" t="s">
        <v>102</v>
      </c>
      <c r="B17" s="67" t="s">
        <v>102</v>
      </c>
      <c r="C17" s="13" t="s">
        <v>103</v>
      </c>
      <c r="D17" s="27" t="s">
        <v>61</v>
      </c>
      <c r="E17" s="34" t="s">
        <v>104</v>
      </c>
    </row>
    <row r="18" spans="1:5" ht="24" x14ac:dyDescent="0.2">
      <c r="A18" s="99" t="s">
        <v>112</v>
      </c>
      <c r="B18" s="67">
        <v>42712</v>
      </c>
      <c r="C18" s="13" t="s">
        <v>113</v>
      </c>
      <c r="D18" s="27" t="s">
        <v>61</v>
      </c>
      <c r="E18" s="92" t="s">
        <v>116</v>
      </c>
    </row>
    <row r="19" spans="1:5" x14ac:dyDescent="0.2">
      <c r="A19" s="99"/>
      <c r="B19" s="67" t="s">
        <v>112</v>
      </c>
      <c r="C19" s="13" t="s">
        <v>114</v>
      </c>
      <c r="D19" s="27" t="s">
        <v>61</v>
      </c>
      <c r="E19" s="92"/>
    </row>
    <row r="20" spans="1:5" x14ac:dyDescent="0.2">
      <c r="A20" s="99"/>
      <c r="B20" s="67" t="s">
        <v>118</v>
      </c>
      <c r="C20" s="13" t="s">
        <v>115</v>
      </c>
      <c r="D20" s="27" t="s">
        <v>61</v>
      </c>
      <c r="E20" s="92"/>
    </row>
    <row r="21" spans="1:5" x14ac:dyDescent="0.2">
      <c r="A21" s="93" t="s">
        <v>128</v>
      </c>
      <c r="C21" s="13" t="s">
        <v>129</v>
      </c>
      <c r="D21" s="27" t="s">
        <v>65</v>
      </c>
      <c r="E21" s="92" t="s">
        <v>132</v>
      </c>
    </row>
    <row r="22" spans="1:5" x14ac:dyDescent="0.2">
      <c r="A22" s="93"/>
      <c r="C22" s="13" t="s">
        <v>130</v>
      </c>
      <c r="D22" s="27" t="s">
        <v>65</v>
      </c>
      <c r="E22" s="92"/>
    </row>
    <row r="23" spans="1:5" ht="15" customHeight="1" x14ac:dyDescent="0.2">
      <c r="A23" s="93" t="s">
        <v>134</v>
      </c>
      <c r="B23" s="91" t="s">
        <v>134</v>
      </c>
      <c r="C23" s="13" t="s">
        <v>136</v>
      </c>
      <c r="D23" s="27" t="s">
        <v>61</v>
      </c>
      <c r="E23" s="92" t="s">
        <v>138</v>
      </c>
    </row>
    <row r="24" spans="1:5" ht="15" customHeight="1" x14ac:dyDescent="0.2">
      <c r="A24" s="93"/>
      <c r="B24" s="91"/>
      <c r="C24" s="13" t="s">
        <v>137</v>
      </c>
      <c r="D24" s="27" t="s">
        <v>61</v>
      </c>
      <c r="E24" s="92"/>
    </row>
    <row r="25" spans="1:5" ht="15" customHeight="1" x14ac:dyDescent="0.2">
      <c r="A25" s="93"/>
      <c r="B25" s="91"/>
      <c r="C25" s="13" t="s">
        <v>141</v>
      </c>
      <c r="D25" s="27" t="s">
        <v>61</v>
      </c>
      <c r="E25" s="92"/>
    </row>
    <row r="26" spans="1:5" ht="12" customHeight="1" x14ac:dyDescent="0.2">
      <c r="A26" s="100">
        <v>42588</v>
      </c>
      <c r="B26" s="104">
        <v>42588</v>
      </c>
      <c r="C26" s="58" t="s">
        <v>145</v>
      </c>
      <c r="D26" s="59" t="s">
        <v>61</v>
      </c>
      <c r="E26" s="102" t="s">
        <v>146</v>
      </c>
    </row>
    <row r="27" spans="1:5" ht="12" customHeight="1" x14ac:dyDescent="0.2">
      <c r="A27" s="101"/>
      <c r="B27" s="104"/>
      <c r="C27" s="58" t="s">
        <v>147</v>
      </c>
      <c r="D27" s="59" t="s">
        <v>61</v>
      </c>
      <c r="E27" s="103"/>
    </row>
    <row r="28" spans="1:5" ht="15" customHeight="1" x14ac:dyDescent="0.2">
      <c r="A28" s="101"/>
      <c r="B28" s="104"/>
      <c r="C28" s="58" t="s">
        <v>148</v>
      </c>
      <c r="D28" s="59" t="s">
        <v>61</v>
      </c>
      <c r="E28" s="103"/>
    </row>
    <row r="29" spans="1:5" ht="15" customHeight="1" x14ac:dyDescent="0.2">
      <c r="A29" s="101"/>
      <c r="B29" s="104"/>
      <c r="C29" s="58" t="s">
        <v>149</v>
      </c>
      <c r="D29" s="59" t="s">
        <v>61</v>
      </c>
      <c r="E29" s="103"/>
    </row>
    <row r="30" spans="1:5" ht="24" x14ac:dyDescent="0.2">
      <c r="A30" s="93">
        <v>42621</v>
      </c>
      <c r="B30" s="67">
        <v>42712</v>
      </c>
      <c r="C30" s="13" t="s">
        <v>152</v>
      </c>
      <c r="D30" s="27" t="s">
        <v>61</v>
      </c>
      <c r="E30" s="92" t="s">
        <v>153</v>
      </c>
    </row>
    <row r="31" spans="1:5" ht="24" x14ac:dyDescent="0.2">
      <c r="A31" s="93"/>
      <c r="B31" s="67">
        <v>42712</v>
      </c>
      <c r="C31" s="13" t="s">
        <v>155</v>
      </c>
      <c r="D31" s="27" t="s">
        <v>61</v>
      </c>
      <c r="E31" s="92"/>
    </row>
    <row r="32" spans="1:5" ht="15" customHeight="1" x14ac:dyDescent="0.2">
      <c r="A32" s="93">
        <v>42651</v>
      </c>
      <c r="B32" s="91">
        <v>42651</v>
      </c>
      <c r="C32" s="13" t="s">
        <v>180</v>
      </c>
      <c r="D32" s="59" t="s">
        <v>61</v>
      </c>
      <c r="E32" s="96" t="s">
        <v>156</v>
      </c>
    </row>
    <row r="33" spans="1:6" ht="15" customHeight="1" x14ac:dyDescent="0.2">
      <c r="A33" s="93"/>
      <c r="B33" s="91"/>
      <c r="C33" s="13" t="s">
        <v>179</v>
      </c>
      <c r="D33" s="59" t="s">
        <v>61</v>
      </c>
      <c r="E33" s="96"/>
    </row>
    <row r="34" spans="1:6" ht="15" customHeight="1" x14ac:dyDescent="0.2">
      <c r="A34" s="93"/>
      <c r="B34" s="91"/>
      <c r="C34" s="13" t="s">
        <v>181</v>
      </c>
      <c r="D34" s="59" t="s">
        <v>61</v>
      </c>
      <c r="E34" s="96"/>
    </row>
    <row r="35" spans="1:6" ht="15" customHeight="1" x14ac:dyDescent="0.2">
      <c r="A35" s="93"/>
      <c r="B35" s="91"/>
      <c r="C35" s="13" t="s">
        <v>158</v>
      </c>
      <c r="D35" s="59" t="s">
        <v>61</v>
      </c>
      <c r="E35" s="96"/>
      <c r="F35" s="94" t="s">
        <v>178</v>
      </c>
    </row>
    <row r="36" spans="1:6" ht="20.25" customHeight="1" x14ac:dyDescent="0.2">
      <c r="A36" s="93"/>
      <c r="B36" s="91"/>
      <c r="C36" s="13" t="s">
        <v>159</v>
      </c>
      <c r="D36" s="59" t="s">
        <v>61</v>
      </c>
      <c r="E36" s="96"/>
      <c r="F36" s="95"/>
    </row>
    <row r="37" spans="1:6" ht="15" customHeight="1" x14ac:dyDescent="0.2">
      <c r="A37" s="93"/>
      <c r="B37" s="91"/>
      <c r="C37" s="13" t="s">
        <v>160</v>
      </c>
      <c r="D37" s="27" t="s">
        <v>61</v>
      </c>
      <c r="E37" s="96"/>
    </row>
    <row r="38" spans="1:6" ht="15" customHeight="1" x14ac:dyDescent="0.2">
      <c r="A38" s="93"/>
      <c r="B38" s="91"/>
      <c r="C38" s="13" t="s">
        <v>161</v>
      </c>
      <c r="D38" s="27" t="s">
        <v>61</v>
      </c>
      <c r="E38" s="96"/>
    </row>
    <row r="39" spans="1:6" x14ac:dyDescent="0.2">
      <c r="A39" s="93"/>
      <c r="C39" s="13" t="s">
        <v>165</v>
      </c>
      <c r="D39" s="27" t="s">
        <v>65</v>
      </c>
      <c r="E39" s="96"/>
    </row>
    <row r="40" spans="1:6" x14ac:dyDescent="0.2">
      <c r="A40" s="93"/>
      <c r="B40" s="67" t="s">
        <v>186</v>
      </c>
      <c r="C40" s="13" t="s">
        <v>164</v>
      </c>
      <c r="D40" s="27" t="s">
        <v>61</v>
      </c>
      <c r="E40" s="96"/>
    </row>
    <row r="41" spans="1:6" ht="15" customHeight="1" x14ac:dyDescent="0.2">
      <c r="A41" s="93"/>
      <c r="B41" s="91" t="s">
        <v>196</v>
      </c>
      <c r="C41" s="13" t="s">
        <v>162</v>
      </c>
      <c r="D41" s="27" t="s">
        <v>61</v>
      </c>
      <c r="E41" s="96"/>
    </row>
    <row r="42" spans="1:6" ht="15" customHeight="1" x14ac:dyDescent="0.2">
      <c r="A42" s="93"/>
      <c r="B42" s="91"/>
      <c r="C42" s="13" t="s">
        <v>163</v>
      </c>
      <c r="D42" s="27" t="s">
        <v>61</v>
      </c>
      <c r="E42" s="96"/>
    </row>
    <row r="43" spans="1:6" x14ac:dyDescent="0.2">
      <c r="A43" s="93"/>
      <c r="C43" s="13" t="s">
        <v>168</v>
      </c>
      <c r="D43" s="27" t="s">
        <v>123</v>
      </c>
      <c r="E43" s="96"/>
    </row>
    <row r="44" spans="1:6" x14ac:dyDescent="0.2">
      <c r="A44" s="93"/>
      <c r="C44" s="13" t="s">
        <v>169</v>
      </c>
      <c r="D44" s="27" t="s">
        <v>123</v>
      </c>
      <c r="E44" s="96"/>
    </row>
    <row r="45" spans="1:6" x14ac:dyDescent="0.2">
      <c r="A45" s="93"/>
      <c r="B45" s="67">
        <v>42712</v>
      </c>
      <c r="C45" s="13" t="s">
        <v>171</v>
      </c>
      <c r="D45" s="27" t="s">
        <v>61</v>
      </c>
      <c r="E45" s="96"/>
    </row>
    <row r="46" spans="1:6" x14ac:dyDescent="0.2">
      <c r="A46" s="93">
        <v>42712</v>
      </c>
      <c r="C46" s="13" t="s">
        <v>172</v>
      </c>
      <c r="D46" s="27" t="s">
        <v>123</v>
      </c>
      <c r="E46" s="92" t="s">
        <v>173</v>
      </c>
    </row>
    <row r="47" spans="1:6" x14ac:dyDescent="0.2">
      <c r="A47" s="93"/>
      <c r="C47" s="13" t="s">
        <v>175</v>
      </c>
      <c r="D47" s="27" t="s">
        <v>123</v>
      </c>
      <c r="E47" s="92"/>
    </row>
    <row r="48" spans="1:6" ht="24" x14ac:dyDescent="0.2">
      <c r="A48" s="93"/>
      <c r="B48" s="91">
        <v>42712</v>
      </c>
      <c r="C48" s="13" t="s">
        <v>176</v>
      </c>
      <c r="D48" s="27" t="s">
        <v>61</v>
      </c>
      <c r="E48" s="92"/>
    </row>
    <row r="49" spans="1:5" ht="15" customHeight="1" x14ac:dyDescent="0.2">
      <c r="A49" s="93"/>
      <c r="B49" s="91"/>
      <c r="C49" s="13" t="s">
        <v>182</v>
      </c>
      <c r="D49" s="27" t="s">
        <v>61</v>
      </c>
      <c r="E49" s="92"/>
    </row>
    <row r="50" spans="1:5" ht="15" customHeight="1" x14ac:dyDescent="0.2">
      <c r="A50" s="93"/>
      <c r="B50" s="91"/>
      <c r="C50" s="13" t="s">
        <v>183</v>
      </c>
      <c r="D50" s="27" t="s">
        <v>61</v>
      </c>
      <c r="E50" s="92"/>
    </row>
    <row r="51" spans="1:5" ht="15" customHeight="1" x14ac:dyDescent="0.2">
      <c r="A51" s="93"/>
      <c r="B51" s="91"/>
      <c r="C51" s="13" t="s">
        <v>182</v>
      </c>
      <c r="D51" s="27" t="s">
        <v>61</v>
      </c>
      <c r="E51" s="92"/>
    </row>
    <row r="52" spans="1:5" ht="15" customHeight="1" x14ac:dyDescent="0.2">
      <c r="A52" s="93"/>
      <c r="B52" s="91"/>
      <c r="C52" s="13" t="s">
        <v>183</v>
      </c>
      <c r="D52" s="27" t="s">
        <v>61</v>
      </c>
      <c r="E52" s="92"/>
    </row>
    <row r="53" spans="1:5" ht="15" customHeight="1" x14ac:dyDescent="0.2">
      <c r="A53" s="93"/>
      <c r="B53" s="91"/>
      <c r="C53" s="13" t="s">
        <v>184</v>
      </c>
      <c r="D53" s="27" t="s">
        <v>61</v>
      </c>
      <c r="E53" s="92"/>
    </row>
    <row r="54" spans="1:5" ht="24" x14ac:dyDescent="0.2">
      <c r="A54" s="93" t="s">
        <v>190</v>
      </c>
      <c r="B54" s="71" t="s">
        <v>186</v>
      </c>
      <c r="C54" s="13" t="s">
        <v>188</v>
      </c>
      <c r="D54" s="27" t="s">
        <v>61</v>
      </c>
      <c r="E54" s="92" t="s">
        <v>220</v>
      </c>
    </row>
    <row r="55" spans="1:5" ht="15" customHeight="1" x14ac:dyDescent="0.2">
      <c r="A55" s="93"/>
      <c r="B55" s="73" t="s">
        <v>212</v>
      </c>
      <c r="C55" s="13" t="s">
        <v>189</v>
      </c>
      <c r="D55" s="27" t="s">
        <v>61</v>
      </c>
      <c r="E55" s="92"/>
    </row>
    <row r="56" spans="1:5" ht="15" customHeight="1" x14ac:dyDescent="0.2">
      <c r="A56" s="93"/>
      <c r="B56" s="91" t="s">
        <v>186</v>
      </c>
      <c r="C56" s="13" t="s">
        <v>191</v>
      </c>
      <c r="D56" s="27" t="s">
        <v>61</v>
      </c>
      <c r="E56" s="92"/>
    </row>
    <row r="57" spans="1:5" ht="15" customHeight="1" x14ac:dyDescent="0.2">
      <c r="A57" s="93"/>
      <c r="B57" s="91"/>
      <c r="C57" s="13" t="s">
        <v>192</v>
      </c>
      <c r="D57" s="27" t="s">
        <v>61</v>
      </c>
      <c r="E57" s="92"/>
    </row>
    <row r="58" spans="1:5" ht="15" customHeight="1" x14ac:dyDescent="0.2">
      <c r="A58" s="93"/>
      <c r="B58" s="91"/>
      <c r="C58" s="13" t="s">
        <v>193</v>
      </c>
      <c r="D58" s="27" t="s">
        <v>61</v>
      </c>
      <c r="E58" s="92"/>
    </row>
    <row r="59" spans="1:5" ht="15" customHeight="1" x14ac:dyDescent="0.2">
      <c r="A59" s="93"/>
      <c r="B59" s="91"/>
      <c r="C59" s="13" t="s">
        <v>195</v>
      </c>
      <c r="D59" s="27" t="s">
        <v>61</v>
      </c>
      <c r="E59" s="92"/>
    </row>
    <row r="60" spans="1:5" ht="15" customHeight="1" x14ac:dyDescent="0.2">
      <c r="A60" s="93"/>
      <c r="B60" s="91"/>
      <c r="C60" s="13" t="s">
        <v>194</v>
      </c>
      <c r="D60" s="27" t="s">
        <v>61</v>
      </c>
      <c r="E60" s="92"/>
    </row>
    <row r="61" spans="1:5" ht="15" customHeight="1" x14ac:dyDescent="0.2">
      <c r="A61" s="93" t="s">
        <v>196</v>
      </c>
      <c r="B61" s="91" t="s">
        <v>196</v>
      </c>
      <c r="C61" s="13" t="s">
        <v>202</v>
      </c>
      <c r="D61" s="27" t="s">
        <v>61</v>
      </c>
      <c r="E61" s="92" t="s">
        <v>197</v>
      </c>
    </row>
    <row r="62" spans="1:5" ht="15" customHeight="1" x14ac:dyDescent="0.2">
      <c r="A62" s="93"/>
      <c r="B62" s="91"/>
      <c r="C62" s="13" t="s">
        <v>201</v>
      </c>
      <c r="D62" s="27" t="s">
        <v>61</v>
      </c>
      <c r="E62" s="92"/>
    </row>
    <row r="63" spans="1:5" ht="15" customHeight="1" x14ac:dyDescent="0.2">
      <c r="A63" s="93"/>
      <c r="B63" s="91"/>
      <c r="C63" s="13" t="s">
        <v>203</v>
      </c>
      <c r="D63" s="27" t="s">
        <v>61</v>
      </c>
      <c r="E63" s="92"/>
    </row>
    <row r="64" spans="1:5" x14ac:dyDescent="0.2">
      <c r="A64" s="93"/>
      <c r="B64" s="67" t="s">
        <v>235</v>
      </c>
      <c r="C64" s="13" t="s">
        <v>204</v>
      </c>
      <c r="D64" s="27" t="s">
        <v>61</v>
      </c>
      <c r="E64" s="92"/>
    </row>
    <row r="65" spans="1:5" ht="15" customHeight="1" x14ac:dyDescent="0.2">
      <c r="A65" s="93"/>
      <c r="B65" s="91" t="s">
        <v>196</v>
      </c>
      <c r="C65" s="13" t="s">
        <v>208</v>
      </c>
      <c r="D65" s="27" t="s">
        <v>61</v>
      </c>
      <c r="E65" s="92"/>
    </row>
    <row r="66" spans="1:5" ht="15" customHeight="1" x14ac:dyDescent="0.2">
      <c r="A66" s="93"/>
      <c r="B66" s="91"/>
      <c r="C66" s="13" t="s">
        <v>205</v>
      </c>
      <c r="D66" s="27" t="s">
        <v>61</v>
      </c>
      <c r="E66" s="92"/>
    </row>
    <row r="67" spans="1:5" x14ac:dyDescent="0.2">
      <c r="A67" s="93"/>
      <c r="B67" s="67" t="s">
        <v>235</v>
      </c>
      <c r="C67" s="13" t="s">
        <v>206</v>
      </c>
      <c r="D67" s="27" t="s">
        <v>61</v>
      </c>
      <c r="E67" s="92"/>
    </row>
    <row r="68" spans="1:5" x14ac:dyDescent="0.2">
      <c r="A68" s="93"/>
      <c r="B68" s="67" t="s">
        <v>196</v>
      </c>
      <c r="C68" s="13" t="s">
        <v>207</v>
      </c>
      <c r="D68" s="27" t="s">
        <v>61</v>
      </c>
      <c r="E68" s="92"/>
    </row>
    <row r="69" spans="1:5" ht="24" x14ac:dyDescent="0.2">
      <c r="A69" s="93"/>
      <c r="B69" s="67" t="s">
        <v>255</v>
      </c>
      <c r="C69" s="72" t="s">
        <v>209</v>
      </c>
      <c r="D69" s="27" t="s">
        <v>61</v>
      </c>
      <c r="E69" s="92"/>
    </row>
    <row r="70" spans="1:5" x14ac:dyDescent="0.2">
      <c r="A70" s="93"/>
      <c r="C70" s="13" t="s">
        <v>210</v>
      </c>
      <c r="D70" s="27" t="s">
        <v>125</v>
      </c>
      <c r="E70" s="92"/>
    </row>
    <row r="71" spans="1:5" ht="24" x14ac:dyDescent="0.2">
      <c r="A71" s="93"/>
      <c r="C71" s="13" t="s">
        <v>211</v>
      </c>
      <c r="D71" s="27" t="s">
        <v>65</v>
      </c>
      <c r="E71" s="92"/>
    </row>
    <row r="72" spans="1:5" ht="15" customHeight="1" x14ac:dyDescent="0.2">
      <c r="A72" s="93" t="s">
        <v>212</v>
      </c>
      <c r="B72" s="91" t="s">
        <v>225</v>
      </c>
      <c r="C72" s="13" t="s">
        <v>214</v>
      </c>
      <c r="D72" s="27" t="s">
        <v>61</v>
      </c>
      <c r="E72" s="92" t="s">
        <v>218</v>
      </c>
    </row>
    <row r="73" spans="1:5" ht="15" customHeight="1" x14ac:dyDescent="0.2">
      <c r="A73" s="93"/>
      <c r="B73" s="91"/>
      <c r="C73" s="13" t="s">
        <v>215</v>
      </c>
      <c r="D73" s="27" t="s">
        <v>61</v>
      </c>
      <c r="E73" s="92"/>
    </row>
    <row r="74" spans="1:5" ht="15" customHeight="1" x14ac:dyDescent="0.2">
      <c r="A74" s="93"/>
      <c r="B74" s="91"/>
      <c r="C74" s="13" t="s">
        <v>216</v>
      </c>
      <c r="D74" s="27" t="s">
        <v>61</v>
      </c>
      <c r="E74" s="92"/>
    </row>
    <row r="75" spans="1:5" x14ac:dyDescent="0.2">
      <c r="A75" s="93"/>
      <c r="B75" s="67" t="s">
        <v>234</v>
      </c>
      <c r="C75" s="13" t="s">
        <v>217</v>
      </c>
      <c r="D75" s="27" t="s">
        <v>61</v>
      </c>
      <c r="E75" s="92"/>
    </row>
    <row r="76" spans="1:5" x14ac:dyDescent="0.2">
      <c r="A76" s="93"/>
      <c r="C76" s="13" t="s">
        <v>219</v>
      </c>
      <c r="D76" s="27" t="s">
        <v>123</v>
      </c>
      <c r="E76" s="92"/>
    </row>
    <row r="77" spans="1:5" x14ac:dyDescent="0.2">
      <c r="A77" s="93"/>
      <c r="B77" s="67" t="s">
        <v>212</v>
      </c>
      <c r="C77" s="13" t="s">
        <v>223</v>
      </c>
      <c r="D77" s="27" t="s">
        <v>61</v>
      </c>
      <c r="E77" s="92"/>
    </row>
    <row r="78" spans="1:5" ht="24" x14ac:dyDescent="0.2">
      <c r="A78" s="93" t="s">
        <v>225</v>
      </c>
      <c r="B78" s="67" t="s">
        <v>225</v>
      </c>
      <c r="C78" s="13" t="s">
        <v>224</v>
      </c>
      <c r="D78" s="27" t="s">
        <v>61</v>
      </c>
      <c r="E78" s="92" t="s">
        <v>226</v>
      </c>
    </row>
    <row r="79" spans="1:5" x14ac:dyDescent="0.2">
      <c r="A79" s="93"/>
      <c r="C79" s="13" t="s">
        <v>229</v>
      </c>
      <c r="D79" s="27" t="s">
        <v>65</v>
      </c>
      <c r="E79" s="92"/>
    </row>
    <row r="80" spans="1:5" ht="24" x14ac:dyDescent="0.2">
      <c r="A80" s="93"/>
      <c r="B80" s="91" t="s">
        <v>225</v>
      </c>
      <c r="C80" s="13" t="s">
        <v>231</v>
      </c>
      <c r="D80" s="27" t="s">
        <v>61</v>
      </c>
      <c r="E80" s="92"/>
    </row>
    <row r="81" spans="1:5" ht="24" x14ac:dyDescent="0.2">
      <c r="A81" s="93"/>
      <c r="B81" s="91"/>
      <c r="C81" s="13" t="s">
        <v>233</v>
      </c>
      <c r="D81" s="27" t="s">
        <v>61</v>
      </c>
      <c r="E81" s="92"/>
    </row>
    <row r="82" spans="1:5" ht="24" x14ac:dyDescent="0.2">
      <c r="A82" s="93" t="s">
        <v>235</v>
      </c>
      <c r="B82" s="91" t="s">
        <v>242</v>
      </c>
      <c r="C82" s="13" t="s">
        <v>238</v>
      </c>
      <c r="D82" s="27" t="s">
        <v>61</v>
      </c>
      <c r="E82" s="92" t="s">
        <v>237</v>
      </c>
    </row>
    <row r="83" spans="1:5" ht="24" x14ac:dyDescent="0.2">
      <c r="A83" s="93"/>
      <c r="B83" s="91"/>
      <c r="C83" s="13" t="s">
        <v>239</v>
      </c>
      <c r="D83" s="27" t="s">
        <v>61</v>
      </c>
      <c r="E83" s="92"/>
    </row>
    <row r="84" spans="1:5" ht="24" x14ac:dyDescent="0.2">
      <c r="A84" s="93"/>
      <c r="B84" s="67" t="s">
        <v>247</v>
      </c>
      <c r="C84" s="13" t="s">
        <v>240</v>
      </c>
      <c r="D84" s="27" t="s">
        <v>61</v>
      </c>
      <c r="E84" s="92"/>
    </row>
    <row r="85" spans="1:5" ht="24" x14ac:dyDescent="0.2">
      <c r="A85" s="93"/>
      <c r="C85" s="75" t="s">
        <v>272</v>
      </c>
      <c r="D85" s="27" t="s">
        <v>65</v>
      </c>
      <c r="E85" s="92"/>
    </row>
    <row r="86" spans="1:5" x14ac:dyDescent="0.2">
      <c r="A86" s="65" t="s">
        <v>242</v>
      </c>
      <c r="C86" s="13" t="s">
        <v>246</v>
      </c>
      <c r="D86" s="27" t="s">
        <v>65</v>
      </c>
      <c r="E86" s="74" t="s">
        <v>243</v>
      </c>
    </row>
    <row r="87" spans="1:5" x14ac:dyDescent="0.2">
      <c r="A87" s="93" t="s">
        <v>249</v>
      </c>
      <c r="B87" s="67" t="s">
        <v>249</v>
      </c>
      <c r="C87" s="13" t="s">
        <v>253</v>
      </c>
      <c r="D87" s="27" t="s">
        <v>61</v>
      </c>
      <c r="E87" s="92" t="s">
        <v>251</v>
      </c>
    </row>
    <row r="88" spans="1:5" x14ac:dyDescent="0.2">
      <c r="A88" s="93"/>
      <c r="C88" s="13" t="s">
        <v>273</v>
      </c>
      <c r="D88" s="27" t="s">
        <v>65</v>
      </c>
      <c r="E88" s="92"/>
    </row>
    <row r="89" spans="1:5" ht="15" customHeight="1" x14ac:dyDescent="0.2">
      <c r="A89" s="93" t="s">
        <v>255</v>
      </c>
      <c r="B89" s="91" t="s">
        <v>255</v>
      </c>
      <c r="C89" s="13" t="s">
        <v>257</v>
      </c>
      <c r="D89" s="27" t="s">
        <v>61</v>
      </c>
      <c r="E89" s="92" t="s">
        <v>258</v>
      </c>
    </row>
    <row r="90" spans="1:5" ht="15" customHeight="1" x14ac:dyDescent="0.2">
      <c r="A90" s="93"/>
      <c r="B90" s="91"/>
      <c r="C90" s="13" t="s">
        <v>259</v>
      </c>
      <c r="D90" s="27" t="s">
        <v>61</v>
      </c>
      <c r="E90" s="92"/>
    </row>
    <row r="91" spans="1:5" ht="24" x14ac:dyDescent="0.2">
      <c r="A91" s="93"/>
      <c r="B91" s="91"/>
      <c r="C91" s="13" t="s">
        <v>262</v>
      </c>
      <c r="D91" s="27" t="s">
        <v>61</v>
      </c>
      <c r="E91" s="92"/>
    </row>
    <row r="92" spans="1:5" ht="15" customHeight="1" x14ac:dyDescent="0.2">
      <c r="A92" s="93"/>
      <c r="B92" s="91"/>
      <c r="C92" s="13" t="s">
        <v>261</v>
      </c>
      <c r="D92" s="27" t="s">
        <v>61</v>
      </c>
      <c r="E92" s="92"/>
    </row>
    <row r="93" spans="1:5" ht="24" x14ac:dyDescent="0.2">
      <c r="A93" s="93"/>
      <c r="B93" s="67" t="s">
        <v>266</v>
      </c>
      <c r="C93" s="13" t="s">
        <v>260</v>
      </c>
      <c r="D93" s="27" t="s">
        <v>61</v>
      </c>
      <c r="E93" s="92"/>
    </row>
    <row r="94" spans="1:5" ht="24" x14ac:dyDescent="0.2">
      <c r="A94" s="93"/>
      <c r="B94" s="91" t="s">
        <v>255</v>
      </c>
      <c r="C94" s="13" t="s">
        <v>263</v>
      </c>
      <c r="D94" s="27" t="s">
        <v>61</v>
      </c>
      <c r="E94" s="92"/>
    </row>
    <row r="95" spans="1:5" ht="24" x14ac:dyDescent="0.2">
      <c r="A95" s="93"/>
      <c r="B95" s="91"/>
      <c r="C95" s="13" t="s">
        <v>264</v>
      </c>
      <c r="D95" s="27" t="s">
        <v>61</v>
      </c>
      <c r="E95" s="92"/>
    </row>
    <row r="96" spans="1:5" ht="15" customHeight="1" x14ac:dyDescent="0.2">
      <c r="A96" s="93"/>
      <c r="B96" s="91"/>
      <c r="C96" s="13" t="s">
        <v>265</v>
      </c>
      <c r="D96" s="27" t="s">
        <v>61</v>
      </c>
      <c r="E96" s="92"/>
    </row>
    <row r="97" spans="1:5" x14ac:dyDescent="0.2">
      <c r="A97" s="65" t="s">
        <v>266</v>
      </c>
      <c r="B97" s="67" t="s">
        <v>266</v>
      </c>
      <c r="C97" s="13" t="s">
        <v>271</v>
      </c>
      <c r="D97" s="27" t="s">
        <v>61</v>
      </c>
      <c r="E97" s="77" t="s">
        <v>267</v>
      </c>
    </row>
    <row r="98" spans="1:5" ht="24" x14ac:dyDescent="0.2">
      <c r="A98" s="93" t="s">
        <v>274</v>
      </c>
      <c r="B98" s="91" t="s">
        <v>274</v>
      </c>
      <c r="C98" s="13" t="s">
        <v>275</v>
      </c>
      <c r="D98" s="27" t="s">
        <v>61</v>
      </c>
      <c r="E98" s="92" t="s">
        <v>276</v>
      </c>
    </row>
    <row r="99" spans="1:5" ht="15" customHeight="1" x14ac:dyDescent="0.2">
      <c r="A99" s="93"/>
      <c r="B99" s="91"/>
      <c r="C99" s="13" t="s">
        <v>279</v>
      </c>
      <c r="D99" s="27" t="s">
        <v>61</v>
      </c>
      <c r="E99" s="92"/>
    </row>
    <row r="100" spans="1:5" ht="24" x14ac:dyDescent="0.2">
      <c r="A100" s="93"/>
      <c r="C100" s="13" t="s">
        <v>280</v>
      </c>
      <c r="D100" s="27" t="s">
        <v>65</v>
      </c>
      <c r="E100" s="92"/>
    </row>
  </sheetData>
  <mergeCells count="52">
    <mergeCell ref="E98:E100"/>
    <mergeCell ref="A98:A100"/>
    <mergeCell ref="B98:B99"/>
    <mergeCell ref="E3:E11"/>
    <mergeCell ref="E12:E13"/>
    <mergeCell ref="B3:B10"/>
    <mergeCell ref="A3:A11"/>
    <mergeCell ref="A12:A13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F35:F36"/>
    <mergeCell ref="E46:E53"/>
    <mergeCell ref="A46:A53"/>
    <mergeCell ref="E32:E45"/>
    <mergeCell ref="A32:A45"/>
    <mergeCell ref="B32:B38"/>
    <mergeCell ref="B48:B53"/>
    <mergeCell ref="B41:B42"/>
    <mergeCell ref="A54:A60"/>
    <mergeCell ref="B56:B60"/>
    <mergeCell ref="E54:E60"/>
    <mergeCell ref="E61:E71"/>
    <mergeCell ref="A61:A71"/>
    <mergeCell ref="B61:B63"/>
    <mergeCell ref="B65:B66"/>
    <mergeCell ref="B72:B74"/>
    <mergeCell ref="E72:E77"/>
    <mergeCell ref="A72:A77"/>
    <mergeCell ref="B89:B92"/>
    <mergeCell ref="B94:B96"/>
    <mergeCell ref="E89:E96"/>
    <mergeCell ref="A89:A96"/>
    <mergeCell ref="E78:E81"/>
    <mergeCell ref="A78:A81"/>
    <mergeCell ref="B80:B81"/>
    <mergeCell ref="B82:B83"/>
    <mergeCell ref="E87:E88"/>
    <mergeCell ref="A87:A88"/>
    <mergeCell ref="E82:E85"/>
    <mergeCell ref="A82:A85"/>
  </mergeCells>
  <conditionalFormatting sqref="D1:D25 D30:D31 D37:D1048576">
    <cfRule type="cellIs" dxfId="24" priority="21" operator="equal">
      <formula>"Fixing"</formula>
    </cfRule>
    <cfRule type="cellIs" dxfId="23" priority="22" operator="equal">
      <formula>"Working"</formula>
    </cfRule>
    <cfRule type="cellIs" dxfId="22" priority="23" operator="equal">
      <formula>"Not started"</formula>
    </cfRule>
    <cfRule type="cellIs" dxfId="21" priority="24" operator="equal">
      <formula>"Completed"</formula>
    </cfRule>
    <cfRule type="cellIs" dxfId="20" priority="25" operator="equal">
      <formula>"Completed"</formula>
    </cfRule>
  </conditionalFormatting>
  <conditionalFormatting sqref="D26:D29">
    <cfRule type="cellIs" dxfId="19" priority="16" operator="equal">
      <formula>"Fixing"</formula>
    </cfRule>
  </conditionalFormatting>
  <conditionalFormatting sqref="D26:D29">
    <cfRule type="cellIs" dxfId="18" priority="17" operator="equal">
      <formula>"Working"</formula>
    </cfRule>
  </conditionalFormatting>
  <conditionalFormatting sqref="D26:D29">
    <cfRule type="cellIs" dxfId="17" priority="18" operator="equal">
      <formula>"Not started"</formula>
    </cfRule>
  </conditionalFormatting>
  <conditionalFormatting sqref="D26:D29">
    <cfRule type="cellIs" dxfId="16" priority="19" operator="equal">
      <formula>"Completed"</formula>
    </cfRule>
  </conditionalFormatting>
  <conditionalFormatting sqref="D26:D29">
    <cfRule type="cellIs" dxfId="15" priority="20" operator="equal">
      <formula>"Completed"</formula>
    </cfRule>
  </conditionalFormatting>
  <conditionalFormatting sqref="D32:D34">
    <cfRule type="cellIs" dxfId="14" priority="11" operator="equal">
      <formula>"Fixing"</formula>
    </cfRule>
  </conditionalFormatting>
  <conditionalFormatting sqref="D32:D34">
    <cfRule type="cellIs" dxfId="13" priority="12" operator="equal">
      <formula>"Working"</formula>
    </cfRule>
  </conditionalFormatting>
  <conditionalFormatting sqref="D32:D34">
    <cfRule type="cellIs" dxfId="12" priority="13" operator="equal">
      <formula>"Not started"</formula>
    </cfRule>
  </conditionalFormatting>
  <conditionalFormatting sqref="D32:D34">
    <cfRule type="cellIs" dxfId="11" priority="14" operator="equal">
      <formula>"Completed"</formula>
    </cfRule>
  </conditionalFormatting>
  <conditionalFormatting sqref="D32:D34">
    <cfRule type="cellIs" dxfId="10" priority="15" operator="equal">
      <formula>"Completed"</formula>
    </cfRule>
  </conditionalFormatting>
  <conditionalFormatting sqref="D35">
    <cfRule type="cellIs" dxfId="9" priority="6" operator="equal">
      <formula>"Fixing"</formula>
    </cfRule>
  </conditionalFormatting>
  <conditionalFormatting sqref="D35">
    <cfRule type="cellIs" dxfId="8" priority="7" operator="equal">
      <formula>"Working"</formula>
    </cfRule>
  </conditionalFormatting>
  <conditionalFormatting sqref="D35">
    <cfRule type="cellIs" dxfId="7" priority="8" operator="equal">
      <formula>"Not started"</formula>
    </cfRule>
  </conditionalFormatting>
  <conditionalFormatting sqref="D35">
    <cfRule type="cellIs" dxfId="6" priority="9" operator="equal">
      <formula>"Completed"</formula>
    </cfRule>
  </conditionalFormatting>
  <conditionalFormatting sqref="D35">
    <cfRule type="cellIs" dxfId="5" priority="10" operator="equal">
      <formula>"Completed"</formula>
    </cfRule>
  </conditionalFormatting>
  <conditionalFormatting sqref="D36">
    <cfRule type="cellIs" dxfId="4" priority="1" operator="equal">
      <formula>"Fixing"</formula>
    </cfRule>
  </conditionalFormatting>
  <conditionalFormatting sqref="D36">
    <cfRule type="cellIs" dxfId="3" priority="2" operator="equal">
      <formula>"Working"</formula>
    </cfRule>
  </conditionalFormatting>
  <conditionalFormatting sqref="D36">
    <cfRule type="cellIs" dxfId="2" priority="3" operator="equal">
      <formula>"Not started"</formula>
    </cfRule>
  </conditionalFormatting>
  <conditionalFormatting sqref="D36">
    <cfRule type="cellIs" dxfId="1" priority="4" operator="equal">
      <formula>"Completed"</formula>
    </cfRule>
  </conditionalFormatting>
  <conditionalFormatting sqref="D36">
    <cfRule type="cellIs" dxfId="0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9" location="Planning!J21" display="Planning!J21"/>
    <hyperlink ref="E97" location="Planning!J22" display="Planning!J22"/>
    <hyperlink ref="E98" location="Planning!J23" display="Planning!J23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2016-08-24T02:13:36Z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