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<sst xmlns="http://schemas.openxmlformats.org/spreadsheetml/2006/main" count="602" uniqueCount="333">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</sst>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0.42307692307692307</c:v>
                </c:pt>
                <c:pt idx="1">
                  <c:v>0.11538461538461539</c:v>
                </c:pt>
                <c:pt idx="2">
                  <c:v>0.46153846153846156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0.78333333333333333</c:v>
                </c:pt>
                <c:pt idx="1">
                  <c:v>0.125</c:v>
                </c:pt>
                <c:pt idx="2">
                  <c:v>7.4999999999999997E-2</c:v>
                </c:pt>
                <c:pt idx="3">
                  <c:v>1.6666666666666666E-2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85" t="s">
        <v>0</v>
      </c>
      <c r="B1" s="85"/>
      <c r="C1" s="85"/>
    </row>
    <row r="2" spans="1:6" x14ac:dyDescent="0.25">
      <c r="A2" s="85"/>
      <c r="B2" s="85"/>
      <c r="C2" s="85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87" t="s">
        <v>43</v>
      </c>
      <c r="E4" s="87"/>
    </row>
    <row r="5" spans="1:6" x14ac:dyDescent="0.25">
      <c r="A5" s="86" t="s">
        <v>21</v>
      </c>
      <c r="B5" s="86"/>
      <c r="C5" s="86"/>
      <c r="D5" s="86"/>
      <c r="E5" s="86"/>
      <c r="F5" s="86"/>
    </row>
    <row r="6" spans="1:6" x14ac:dyDescent="0.25">
      <c r="A6" s="86"/>
      <c r="B6" s="86"/>
      <c r="C6" s="86"/>
      <c r="D6" s="86"/>
      <c r="E6" s="86"/>
      <c r="F6" s="86"/>
    </row>
    <row r="7" spans="1:6" x14ac:dyDescent="0.25">
      <c r="A7" s="7" t="s">
        <v>24</v>
      </c>
    </row>
    <row r="8" spans="1:6" x14ac:dyDescent="0.25">
      <c r="A8" s="88"/>
      <c r="B8" s="7" t="s">
        <v>25</v>
      </c>
    </row>
    <row r="9" spans="1:6" x14ac:dyDescent="0.25">
      <c r="A9" s="88"/>
      <c r="B9" s="7" t="s">
        <v>23</v>
      </c>
    </row>
    <row r="10" spans="1:6" x14ac:dyDescent="0.25">
      <c r="A10" s="88"/>
      <c r="C10" s="7" t="s">
        <v>35</v>
      </c>
    </row>
    <row r="11" spans="1:6" x14ac:dyDescent="0.25">
      <c r="A11" s="88"/>
      <c r="B11" s="7" t="s">
        <v>22</v>
      </c>
      <c r="C11" s="89"/>
    </row>
    <row r="12" spans="1:6" x14ac:dyDescent="0.25">
      <c r="A12" s="88"/>
      <c r="B12" s="7" t="s">
        <v>26</v>
      </c>
      <c r="C12" s="89"/>
    </row>
    <row r="13" spans="1:6" x14ac:dyDescent="0.25">
      <c r="A13" s="88"/>
      <c r="B13" s="7" t="s">
        <v>46</v>
      </c>
      <c r="C13" s="89"/>
    </row>
    <row r="14" spans="1:6" x14ac:dyDescent="0.25">
      <c r="A14" s="7" t="s">
        <v>27</v>
      </c>
      <c r="C14" s="89"/>
    </row>
    <row r="15" spans="1:6" x14ac:dyDescent="0.25">
      <c r="A15" s="88"/>
      <c r="B15" s="7" t="s">
        <v>28</v>
      </c>
      <c r="C15" s="89"/>
    </row>
    <row r="16" spans="1:6" x14ac:dyDescent="0.25">
      <c r="A16" s="88"/>
      <c r="B16" s="89"/>
      <c r="C16" s="18" t="s">
        <v>31</v>
      </c>
    </row>
    <row r="17" spans="1:4" x14ac:dyDescent="0.25">
      <c r="A17" s="88"/>
      <c r="B17" s="89"/>
      <c r="C17" s="89"/>
      <c r="D17" s="9" t="s">
        <v>40</v>
      </c>
    </row>
    <row r="18" spans="1:4" x14ac:dyDescent="0.25">
      <c r="A18" s="88"/>
      <c r="B18" s="89"/>
      <c r="C18" s="89"/>
      <c r="D18" s="9" t="s">
        <v>39</v>
      </c>
    </row>
    <row r="19" spans="1:4" x14ac:dyDescent="0.25">
      <c r="A19" s="88"/>
      <c r="B19" s="89"/>
      <c r="C19" s="89"/>
      <c r="D19" s="18" t="s">
        <v>22</v>
      </c>
    </row>
    <row r="20" spans="1:4" x14ac:dyDescent="0.25">
      <c r="A20" s="88"/>
      <c r="B20" s="89"/>
      <c r="C20" s="18" t="s">
        <v>32</v>
      </c>
    </row>
    <row r="21" spans="1:4" x14ac:dyDescent="0.25">
      <c r="A21" s="88"/>
      <c r="B21" s="89"/>
      <c r="C21" s="89"/>
      <c r="D21" s="9" t="s">
        <v>40</v>
      </c>
    </row>
    <row r="22" spans="1:4" x14ac:dyDescent="0.25">
      <c r="A22" s="88"/>
      <c r="B22" s="89"/>
      <c r="C22" s="89"/>
      <c r="D22" s="9" t="s">
        <v>39</v>
      </c>
    </row>
    <row r="23" spans="1:4" x14ac:dyDescent="0.25">
      <c r="A23" s="88"/>
      <c r="B23" s="89"/>
      <c r="C23" s="89"/>
      <c r="D23" s="18" t="s">
        <v>22</v>
      </c>
    </row>
    <row r="24" spans="1:4" x14ac:dyDescent="0.25">
      <c r="A24" s="88"/>
      <c r="B24" s="7" t="s">
        <v>29</v>
      </c>
      <c r="C24" s="89"/>
      <c r="D24" s="89"/>
    </row>
    <row r="25" spans="1:4" x14ac:dyDescent="0.25">
      <c r="A25" s="88"/>
      <c r="B25" s="89"/>
      <c r="C25" s="7" t="s">
        <v>33</v>
      </c>
      <c r="D25" s="89"/>
    </row>
    <row r="26" spans="1:4" x14ac:dyDescent="0.25">
      <c r="A26" s="88"/>
      <c r="B26" s="89"/>
      <c r="C26" s="89"/>
      <c r="D26" s="9" t="s">
        <v>40</v>
      </c>
    </row>
    <row r="27" spans="1:4" x14ac:dyDescent="0.25">
      <c r="A27" s="88"/>
      <c r="B27" s="89"/>
      <c r="C27" s="89"/>
      <c r="D27" s="7" t="s">
        <v>39</v>
      </c>
    </row>
    <row r="28" spans="1:4" x14ac:dyDescent="0.25">
      <c r="A28" s="88"/>
      <c r="B28" s="89"/>
      <c r="C28" s="89"/>
      <c r="D28" s="18" t="s">
        <v>22</v>
      </c>
    </row>
    <row r="29" spans="1:4" x14ac:dyDescent="0.25">
      <c r="A29" s="88"/>
      <c r="B29" s="89"/>
      <c r="C29" s="7" t="s">
        <v>34</v>
      </c>
    </row>
    <row r="30" spans="1:4" x14ac:dyDescent="0.25">
      <c r="A30" s="88"/>
      <c r="B30" s="89"/>
      <c r="C30" s="89"/>
      <c r="D30" s="7" t="s">
        <v>40</v>
      </c>
    </row>
    <row r="31" spans="1:4" x14ac:dyDescent="0.25">
      <c r="A31" s="88"/>
      <c r="B31" s="89"/>
      <c r="C31" s="89"/>
      <c r="D31" s="7" t="s">
        <v>39</v>
      </c>
    </row>
    <row r="32" spans="1:4" x14ac:dyDescent="0.25">
      <c r="A32" s="88"/>
      <c r="B32" s="89"/>
      <c r="C32" s="89"/>
      <c r="D32" s="7" t="s">
        <v>22</v>
      </c>
    </row>
    <row r="33" spans="1:4" x14ac:dyDescent="0.25">
      <c r="A33" s="88"/>
      <c r="B33" s="7" t="s">
        <v>30</v>
      </c>
      <c r="C33" s="89"/>
      <c r="D33" s="89"/>
    </row>
    <row r="34" spans="1:4" x14ac:dyDescent="0.25">
      <c r="A34" s="88"/>
      <c r="B34" s="89"/>
      <c r="C34" s="7" t="s">
        <v>33</v>
      </c>
      <c r="D34" s="89"/>
    </row>
    <row r="35" spans="1:4" x14ac:dyDescent="0.25">
      <c r="A35" s="88"/>
      <c r="B35" s="89"/>
      <c r="C35" s="90"/>
      <c r="D35" s="18" t="s">
        <v>40</v>
      </c>
    </row>
    <row r="36" spans="1:4" x14ac:dyDescent="0.25">
      <c r="A36" s="88"/>
      <c r="B36" s="89"/>
      <c r="C36" s="90"/>
      <c r="D36" s="7" t="s">
        <v>39</v>
      </c>
    </row>
    <row r="37" spans="1:4" x14ac:dyDescent="0.25">
      <c r="A37" s="88"/>
      <c r="B37" s="89"/>
      <c r="C37" s="90"/>
      <c r="D37" s="18" t="s">
        <v>22</v>
      </c>
    </row>
    <row r="38" spans="1:4" x14ac:dyDescent="0.25">
      <c r="A38" s="88"/>
      <c r="B38" s="89"/>
      <c r="C38" s="6" t="s">
        <v>34</v>
      </c>
    </row>
    <row r="39" spans="1:4" x14ac:dyDescent="0.25">
      <c r="A39" s="88"/>
      <c r="B39" s="89"/>
      <c r="C39" s="89"/>
      <c r="D39" s="6" t="s">
        <v>40</v>
      </c>
    </row>
    <row r="40" spans="1:4" x14ac:dyDescent="0.25">
      <c r="A40" s="88"/>
      <c r="B40" s="89"/>
      <c r="C40" s="89"/>
      <c r="D40" s="6" t="s">
        <v>39</v>
      </c>
    </row>
    <row r="41" spans="1:4" x14ac:dyDescent="0.25">
      <c r="A41" s="88"/>
      <c r="B41" s="89"/>
      <c r="C41" s="89"/>
      <c r="D41" s="6" t="s">
        <v>22</v>
      </c>
    </row>
    <row r="42" spans="1:4" x14ac:dyDescent="0.25">
      <c r="A42" s="7" t="s">
        <v>36</v>
      </c>
      <c r="B42" s="89"/>
      <c r="C42" s="89"/>
    </row>
    <row r="43" spans="1:4" x14ac:dyDescent="0.25">
      <c r="B43" s="7" t="s">
        <v>37</v>
      </c>
      <c r="C43" s="89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"/>
  <sheetViews>
    <sheetView topLeftCell="A2" workbookViewId="0">
      <pane xSplit="1" topLeftCell="M1" activePane="topRight" state="frozen"/>
      <selection pane="topRight" activeCell="N6" sqref="N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  <col min="15" max="15" width="33.5703125" customWidth="1"/>
    <col min="16" max="16" width="35.28515625" customWidth="1"/>
    <col min="17" max="17" width="26.42578125" customWidth="1"/>
    <col min="18" max="18" width="26.28515625" customWidth="1"/>
  </cols>
  <sheetData>
    <row r="1" spans="1:17" ht="34.5" customHeight="1" x14ac:dyDescent="0.25">
      <c r="A1" s="5" t="s">
        <v>13</v>
      </c>
      <c r="B1" s="91" t="s">
        <v>1</v>
      </c>
      <c r="C1" s="91"/>
      <c r="D1" s="91"/>
      <c r="E1" s="91"/>
      <c r="F1" s="92" t="s">
        <v>16</v>
      </c>
      <c r="G1" s="92"/>
      <c r="H1" s="92"/>
      <c r="I1" s="92"/>
      <c r="J1" s="92"/>
      <c r="K1" s="92"/>
      <c r="L1" s="54" t="s">
        <v>126</v>
      </c>
      <c r="M1" s="93" t="s">
        <v>292</v>
      </c>
      <c r="N1" s="93"/>
      <c r="O1" s="93"/>
      <c r="P1" s="93"/>
      <c r="Q1" s="93"/>
    </row>
    <row r="2" spans="1:17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  <c r="M2" s="2" t="s">
        <v>293</v>
      </c>
      <c r="N2" s="2" t="s">
        <v>294</v>
      </c>
      <c r="O2" s="2" t="s">
        <v>296</v>
      </c>
      <c r="P2" s="84" t="s">
        <v>307</v>
      </c>
      <c r="Q2" s="2" t="s">
        <v>308</v>
      </c>
    </row>
    <row r="3" spans="1:17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7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  <c r="M4" s="3" t="s">
        <v>16</v>
      </c>
      <c r="N4" s="3" t="s">
        <v>293</v>
      </c>
      <c r="O4" s="3" t="s">
        <v>293</v>
      </c>
    </row>
    <row r="5" spans="1:17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7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  <c r="M6" s="17" t="s">
        <v>323</v>
      </c>
      <c r="N6" s="17" t="s">
        <v>295</v>
      </c>
      <c r="O6" s="17" t="s">
        <v>311</v>
      </c>
      <c r="P6" s="17" t="s">
        <v>310</v>
      </c>
      <c r="Q6" s="17" t="s">
        <v>309</v>
      </c>
    </row>
  </sheetData>
  <mergeCells count="3">
    <mergeCell ref="B1:E1"/>
    <mergeCell ref="F1:K1"/>
    <mergeCell ref="M1:Q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94" t="s">
        <v>119</v>
      </c>
      <c r="B1" s="94"/>
      <c r="C1" s="94"/>
      <c r="D1" s="94"/>
      <c r="H1" s="94" t="s">
        <v>124</v>
      </c>
      <c r="I1" s="94"/>
      <c r="J1" s="94"/>
      <c r="K1" s="94"/>
      <c r="L1" s="94"/>
    </row>
    <row r="2" spans="1:12" x14ac:dyDescent="0.25">
      <c r="A2" s="94"/>
      <c r="B2" s="94"/>
      <c r="C2" s="94"/>
      <c r="D2" s="94"/>
      <c r="H2" s="94"/>
      <c r="I2" s="94"/>
      <c r="J2" s="94"/>
      <c r="K2" s="94"/>
      <c r="L2" s="94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11</v>
      </c>
      <c r="C4" s="42">
        <f>B4/B7</f>
        <v>0.42307692307692307</v>
      </c>
      <c r="H4" s="27" t="s">
        <v>61</v>
      </c>
      <c r="I4" s="46">
        <f>COUNTIF(Checklist!D2:D1048576,"Completed")</f>
        <v>94</v>
      </c>
      <c r="J4" s="51">
        <f>I4/I8</f>
        <v>0.78333333333333333</v>
      </c>
    </row>
    <row r="5" spans="1:12" x14ac:dyDescent="0.25">
      <c r="A5" s="25" t="s">
        <v>85</v>
      </c>
      <c r="B5" s="40">
        <f>COUNTIF(Planning!M3:M1048576,"No")</f>
        <v>3</v>
      </c>
      <c r="C5" s="44">
        <f>B5/B7</f>
        <v>0.11538461538461539</v>
      </c>
      <c r="H5" s="27" t="s">
        <v>65</v>
      </c>
      <c r="I5" s="47">
        <f>COUNTIF(Checklist!D2:D1048576,"Not Started")</f>
        <v>15</v>
      </c>
      <c r="J5" s="52">
        <f>I5/I8</f>
        <v>0.125</v>
      </c>
    </row>
    <row r="6" spans="1:12" x14ac:dyDescent="0.25">
      <c r="A6" s="25" t="s">
        <v>109</v>
      </c>
      <c r="B6" s="41">
        <f>COUNTIF(Planning!M3:M1048576,"Some")</f>
        <v>12</v>
      </c>
      <c r="C6" s="43">
        <f>B6/B7</f>
        <v>0.46153846153846156</v>
      </c>
      <c r="H6" s="27" t="s">
        <v>123</v>
      </c>
      <c r="I6" s="48">
        <f>COUNTIF(Checklist!D2:D1048576,"working")</f>
        <v>9</v>
      </c>
      <c r="J6" s="50">
        <f>I6/I8</f>
        <v>7.4999999999999997E-2</v>
      </c>
    </row>
    <row r="7" spans="1:12" x14ac:dyDescent="0.25">
      <c r="A7" s="38" t="s">
        <v>122</v>
      </c>
      <c r="B7">
        <f>SUM(B4:B6)</f>
        <v>26</v>
      </c>
      <c r="H7" s="27" t="s">
        <v>125</v>
      </c>
      <c r="I7" s="49">
        <f>COUNTIF(Checklist!D2:D1048576,"Fixing")</f>
        <v>2</v>
      </c>
      <c r="J7" s="53">
        <f>I7/I8</f>
        <v>1.6666666666666666E-2</v>
      </c>
    </row>
    <row r="8" spans="1:12" x14ac:dyDescent="0.25">
      <c r="H8" s="38" t="s">
        <v>122</v>
      </c>
      <c r="I8" s="45">
        <f>SUM(I4:I7)</f>
        <v>120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0"/>
  <sheetViews>
    <sheetView workbookViewId="0">
      <pane ySplit="2" topLeftCell="A27" activePane="bottomLeft" state="frozen"/>
      <selection pane="bottomLeft" activeCell="F29" sqref="F29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95" t="s">
        <v>13</v>
      </c>
      <c r="B1" s="95"/>
      <c r="C1" s="95"/>
      <c r="D1" s="95"/>
      <c r="E1" s="95"/>
      <c r="F1" s="95"/>
      <c r="G1" s="95"/>
      <c r="H1" s="95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K11" s="60">
        <v>42712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K14" s="60" t="s">
        <v>196</v>
      </c>
      <c r="L14" s="35" t="s">
        <v>187</v>
      </c>
      <c r="M14" s="25" t="s">
        <v>97</v>
      </c>
    </row>
    <row r="15" spans="1:26" ht="77.25" customHeight="1" x14ac:dyDescent="0.25">
      <c r="B15" s="96" t="s">
        <v>199</v>
      </c>
      <c r="C15" s="96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248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245</v>
      </c>
      <c r="J19" s="70" t="s">
        <v>242</v>
      </c>
      <c r="L19" s="35" t="s">
        <v>244</v>
      </c>
      <c r="M19" s="25" t="s">
        <v>85</v>
      </c>
    </row>
    <row r="20" spans="3:13" ht="77.25" customHeight="1" x14ac:dyDescent="0.25">
      <c r="C20" s="30"/>
      <c r="F20" s="76" t="s">
        <v>252</v>
      </c>
      <c r="J20" s="70" t="s">
        <v>249</v>
      </c>
      <c r="K20" s="60" t="s">
        <v>249</v>
      </c>
      <c r="L20" s="35" t="s">
        <v>250</v>
      </c>
      <c r="M20" s="25" t="s">
        <v>97</v>
      </c>
    </row>
    <row r="21" spans="3:13" ht="60" customHeight="1" x14ac:dyDescent="0.25">
      <c r="C21" s="78" t="s">
        <v>255</v>
      </c>
      <c r="J21" s="70" t="s">
        <v>254</v>
      </c>
      <c r="K21" s="60" t="s">
        <v>265</v>
      </c>
      <c r="L21" s="35" t="s">
        <v>268</v>
      </c>
      <c r="M21" s="25" t="s">
        <v>97</v>
      </c>
    </row>
    <row r="22" spans="3:13" ht="60" customHeight="1" x14ac:dyDescent="0.25">
      <c r="H22" s="78" t="s">
        <v>269</v>
      </c>
      <c r="J22" s="70" t="s">
        <v>265</v>
      </c>
      <c r="K22" s="60" t="s">
        <v>265</v>
      </c>
      <c r="L22" s="35" t="s">
        <v>267</v>
      </c>
      <c r="M22" s="25" t="s">
        <v>97</v>
      </c>
    </row>
    <row r="23" spans="3:13" ht="60" customHeight="1" x14ac:dyDescent="0.25">
      <c r="F23" s="79" t="s">
        <v>276</v>
      </c>
      <c r="J23" s="70" t="s">
        <v>272</v>
      </c>
      <c r="L23" s="35" t="s">
        <v>275</v>
      </c>
      <c r="M23" s="25" t="s">
        <v>109</v>
      </c>
    </row>
    <row r="24" spans="3:13" ht="60" customHeight="1" x14ac:dyDescent="0.25">
      <c r="F24" s="30" t="s">
        <v>283</v>
      </c>
      <c r="J24" s="70" t="s">
        <v>279</v>
      </c>
      <c r="L24" s="35" t="s">
        <v>280</v>
      </c>
      <c r="M24" s="25" t="s">
        <v>109</v>
      </c>
    </row>
    <row r="25" spans="3:13" ht="60" customHeight="1" x14ac:dyDescent="0.25">
      <c r="E25" s="83" t="s">
        <v>291</v>
      </c>
      <c r="J25" s="70" t="s">
        <v>287</v>
      </c>
      <c r="K25" s="60" t="s">
        <v>287</v>
      </c>
      <c r="L25" s="35" t="s">
        <v>290</v>
      </c>
      <c r="M25" s="25" t="s">
        <v>97</v>
      </c>
    </row>
    <row r="26" spans="3:13" ht="60" customHeight="1" x14ac:dyDescent="0.25">
      <c r="F26" s="30" t="s">
        <v>306</v>
      </c>
      <c r="J26" s="70" t="s">
        <v>297</v>
      </c>
      <c r="L26" s="35" t="s">
        <v>305</v>
      </c>
      <c r="M26" s="25" t="s">
        <v>109</v>
      </c>
    </row>
    <row r="27" spans="3:13" ht="54" customHeight="1" x14ac:dyDescent="0.25">
      <c r="F27" s="30" t="s">
        <v>318</v>
      </c>
      <c r="J27" s="70" t="s">
        <v>313</v>
      </c>
      <c r="L27" s="35" t="s">
        <v>317</v>
      </c>
      <c r="M27" s="25" t="s">
        <v>109</v>
      </c>
    </row>
    <row r="28" spans="3:13" ht="54" customHeight="1" x14ac:dyDescent="0.25">
      <c r="F28" s="30" t="s">
        <v>329</v>
      </c>
      <c r="J28" s="70" t="s">
        <v>324</v>
      </c>
      <c r="L28" s="35" t="s">
        <v>328</v>
      </c>
      <c r="M28" s="25" t="s">
        <v>85</v>
      </c>
    </row>
    <row r="29" spans="3:13" ht="54" customHeight="1" x14ac:dyDescent="0.25"/>
    <row r="30" spans="3:13" ht="54" customHeight="1" x14ac:dyDescent="0.25"/>
  </sheetData>
  <mergeCells count="2">
    <mergeCell ref="A1:H1"/>
    <mergeCell ref="B15:C1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22"/>
  <sheetViews>
    <sheetView tabSelected="1" workbookViewId="0">
      <pane xSplit="1" ySplit="2" topLeftCell="B112" activePane="bottomRight" state="frozen"/>
      <selection pane="topRight" activeCell="B1" sqref="B1"/>
      <selection pane="bottomLeft" activeCell="A3" sqref="A3"/>
      <selection pane="bottomRight" activeCell="B123" sqref="B123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105" t="s">
        <v>53</v>
      </c>
      <c r="B3" s="104" t="s">
        <v>59</v>
      </c>
      <c r="C3" s="13" t="s">
        <v>75</v>
      </c>
      <c r="D3" s="27" t="s">
        <v>61</v>
      </c>
      <c r="E3" s="103" t="s">
        <v>71</v>
      </c>
    </row>
    <row r="4" spans="1:6" ht="12" customHeight="1" x14ac:dyDescent="0.2">
      <c r="A4" s="105"/>
      <c r="B4" s="104"/>
      <c r="C4" s="13" t="s">
        <v>62</v>
      </c>
      <c r="D4" s="27" t="s">
        <v>61</v>
      </c>
      <c r="E4" s="103"/>
    </row>
    <row r="5" spans="1:6" ht="12" customHeight="1" x14ac:dyDescent="0.2">
      <c r="A5" s="105"/>
      <c r="B5" s="104"/>
      <c r="C5" s="13" t="s">
        <v>63</v>
      </c>
      <c r="D5" s="27" t="s">
        <v>61</v>
      </c>
      <c r="E5" s="103"/>
    </row>
    <row r="6" spans="1:6" ht="12" customHeight="1" x14ac:dyDescent="0.2">
      <c r="A6" s="105"/>
      <c r="B6" s="104"/>
      <c r="C6" s="13" t="s">
        <v>64</v>
      </c>
      <c r="D6" s="27" t="s">
        <v>61</v>
      </c>
      <c r="E6" s="103"/>
    </row>
    <row r="7" spans="1:6" ht="12" customHeight="1" x14ac:dyDescent="0.2">
      <c r="A7" s="105"/>
      <c r="B7" s="104"/>
      <c r="C7" s="13" t="s">
        <v>72</v>
      </c>
      <c r="D7" s="27" t="s">
        <v>61</v>
      </c>
      <c r="E7" s="103"/>
    </row>
    <row r="8" spans="1:6" ht="12" customHeight="1" x14ac:dyDescent="0.2">
      <c r="A8" s="105"/>
      <c r="B8" s="104"/>
      <c r="C8" s="13" t="s">
        <v>67</v>
      </c>
      <c r="D8" s="27" t="s">
        <v>61</v>
      </c>
      <c r="E8" s="103"/>
    </row>
    <row r="9" spans="1:6" ht="12" customHeight="1" x14ac:dyDescent="0.2">
      <c r="A9" s="105"/>
      <c r="B9" s="104"/>
      <c r="C9" s="13" t="s">
        <v>66</v>
      </c>
      <c r="D9" s="27" t="s">
        <v>61</v>
      </c>
      <c r="E9" s="103"/>
    </row>
    <row r="10" spans="1:6" ht="15" customHeight="1" x14ac:dyDescent="0.2">
      <c r="A10" s="105"/>
      <c r="B10" s="104"/>
      <c r="C10" s="13" t="s">
        <v>73</v>
      </c>
      <c r="D10" s="27" t="s">
        <v>61</v>
      </c>
      <c r="E10" s="103"/>
    </row>
    <row r="11" spans="1:6" x14ac:dyDescent="0.2">
      <c r="A11" s="105"/>
      <c r="B11" s="66" t="s">
        <v>90</v>
      </c>
      <c r="C11" s="13" t="s">
        <v>74</v>
      </c>
      <c r="D11" s="27" t="s">
        <v>61</v>
      </c>
      <c r="E11" s="103"/>
    </row>
    <row r="12" spans="1:6" x14ac:dyDescent="0.2">
      <c r="A12" s="105" t="s">
        <v>59</v>
      </c>
      <c r="C12" s="13" t="s">
        <v>91</v>
      </c>
      <c r="D12" s="27" t="s">
        <v>65</v>
      </c>
      <c r="E12" s="103" t="s">
        <v>87</v>
      </c>
    </row>
    <row r="13" spans="1:6" ht="24" x14ac:dyDescent="0.2">
      <c r="A13" s="105"/>
      <c r="B13" s="67" t="s">
        <v>225</v>
      </c>
      <c r="C13" s="13" t="s">
        <v>92</v>
      </c>
      <c r="D13" s="27" t="s">
        <v>61</v>
      </c>
      <c r="E13" s="103"/>
    </row>
    <row r="14" spans="1:6" ht="24" x14ac:dyDescent="0.2">
      <c r="A14" s="105" t="s">
        <v>90</v>
      </c>
      <c r="B14" s="67">
        <v>42621</v>
      </c>
      <c r="C14" s="13" t="s">
        <v>127</v>
      </c>
      <c r="D14" s="27" t="s">
        <v>61</v>
      </c>
      <c r="E14" s="103" t="s">
        <v>93</v>
      </c>
    </row>
    <row r="15" spans="1:6" ht="24" x14ac:dyDescent="0.2">
      <c r="A15" s="105"/>
      <c r="C15" s="13" t="s">
        <v>94</v>
      </c>
      <c r="D15" s="27" t="s">
        <v>65</v>
      </c>
      <c r="E15" s="103"/>
    </row>
    <row r="16" spans="1:6" x14ac:dyDescent="0.2">
      <c r="A16" s="105"/>
      <c r="C16" s="13" t="s">
        <v>99</v>
      </c>
      <c r="D16" s="27" t="s">
        <v>65</v>
      </c>
      <c r="E16" s="103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106" t="s">
        <v>112</v>
      </c>
      <c r="B18" s="67">
        <v>42712</v>
      </c>
      <c r="C18" s="13" t="s">
        <v>113</v>
      </c>
      <c r="D18" s="27" t="s">
        <v>61</v>
      </c>
      <c r="E18" s="99" t="s">
        <v>116</v>
      </c>
    </row>
    <row r="19" spans="1:5" x14ac:dyDescent="0.2">
      <c r="A19" s="106"/>
      <c r="B19" s="67" t="s">
        <v>112</v>
      </c>
      <c r="C19" s="13" t="s">
        <v>114</v>
      </c>
      <c r="D19" s="27" t="s">
        <v>61</v>
      </c>
      <c r="E19" s="99"/>
    </row>
    <row r="20" spans="1:5" x14ac:dyDescent="0.2">
      <c r="A20" s="106"/>
      <c r="B20" s="67" t="s">
        <v>118</v>
      </c>
      <c r="C20" s="13" t="s">
        <v>115</v>
      </c>
      <c r="D20" s="27" t="s">
        <v>61</v>
      </c>
      <c r="E20" s="99"/>
    </row>
    <row r="21" spans="1:5" x14ac:dyDescent="0.2">
      <c r="A21" s="98" t="s">
        <v>128</v>
      </c>
      <c r="C21" s="13" t="s">
        <v>129</v>
      </c>
      <c r="D21" s="27" t="s">
        <v>65</v>
      </c>
      <c r="E21" s="99" t="s">
        <v>132</v>
      </c>
    </row>
    <row r="22" spans="1:5" x14ac:dyDescent="0.2">
      <c r="A22" s="98"/>
      <c r="C22" s="13" t="s">
        <v>130</v>
      </c>
      <c r="D22" s="27" t="s">
        <v>65</v>
      </c>
      <c r="E22" s="99"/>
    </row>
    <row r="23" spans="1:5" ht="15" customHeight="1" x14ac:dyDescent="0.2">
      <c r="A23" s="98" t="s">
        <v>134</v>
      </c>
      <c r="B23" s="97" t="s">
        <v>134</v>
      </c>
      <c r="C23" s="13" t="s">
        <v>136</v>
      </c>
      <c r="D23" s="27" t="s">
        <v>61</v>
      </c>
      <c r="E23" s="99" t="s">
        <v>138</v>
      </c>
    </row>
    <row r="24" spans="1:5" ht="15" customHeight="1" x14ac:dyDescent="0.2">
      <c r="A24" s="98"/>
      <c r="B24" s="97"/>
      <c r="C24" s="13" t="s">
        <v>137</v>
      </c>
      <c r="D24" s="27" t="s">
        <v>61</v>
      </c>
      <c r="E24" s="99"/>
    </row>
    <row r="25" spans="1:5" ht="15" customHeight="1" x14ac:dyDescent="0.2">
      <c r="A25" s="98"/>
      <c r="B25" s="97"/>
      <c r="C25" s="13" t="s">
        <v>141</v>
      </c>
      <c r="D25" s="27" t="s">
        <v>61</v>
      </c>
      <c r="E25" s="99"/>
    </row>
    <row r="26" spans="1:5" ht="12" customHeight="1" x14ac:dyDescent="0.2">
      <c r="A26" s="107">
        <v>42588</v>
      </c>
      <c r="B26" s="111">
        <v>42588</v>
      </c>
      <c r="C26" s="58" t="s">
        <v>145</v>
      </c>
      <c r="D26" s="59" t="s">
        <v>61</v>
      </c>
      <c r="E26" s="109" t="s">
        <v>146</v>
      </c>
    </row>
    <row r="27" spans="1:5" ht="12" customHeight="1" x14ac:dyDescent="0.2">
      <c r="A27" s="108"/>
      <c r="B27" s="111"/>
      <c r="C27" s="58" t="s">
        <v>147</v>
      </c>
      <c r="D27" s="59" t="s">
        <v>61</v>
      </c>
      <c r="E27" s="110"/>
    </row>
    <row r="28" spans="1:5" ht="15" customHeight="1" x14ac:dyDescent="0.2">
      <c r="A28" s="108"/>
      <c r="B28" s="111"/>
      <c r="C28" s="58" t="s">
        <v>148</v>
      </c>
      <c r="D28" s="59" t="s">
        <v>61</v>
      </c>
      <c r="E28" s="110"/>
    </row>
    <row r="29" spans="1:5" ht="15" customHeight="1" x14ac:dyDescent="0.2">
      <c r="A29" s="108"/>
      <c r="B29" s="111"/>
      <c r="C29" s="58" t="s">
        <v>149</v>
      </c>
      <c r="D29" s="59" t="s">
        <v>61</v>
      </c>
      <c r="E29" s="110"/>
    </row>
    <row r="30" spans="1:5" ht="24" x14ac:dyDescent="0.2">
      <c r="A30" s="98">
        <v>42621</v>
      </c>
      <c r="B30" s="67">
        <v>42712</v>
      </c>
      <c r="C30" s="13" t="s">
        <v>152</v>
      </c>
      <c r="D30" s="27" t="s">
        <v>61</v>
      </c>
      <c r="E30" s="99" t="s">
        <v>153</v>
      </c>
    </row>
    <row r="31" spans="1:5" ht="24" x14ac:dyDescent="0.2">
      <c r="A31" s="98"/>
      <c r="B31" s="67">
        <v>42712</v>
      </c>
      <c r="C31" s="13" t="s">
        <v>155</v>
      </c>
      <c r="D31" s="27" t="s">
        <v>61</v>
      </c>
      <c r="E31" s="99"/>
    </row>
    <row r="32" spans="1:5" ht="15" customHeight="1" x14ac:dyDescent="0.2">
      <c r="A32" s="98">
        <v>42651</v>
      </c>
      <c r="B32" s="97">
        <v>42651</v>
      </c>
      <c r="C32" s="13" t="s">
        <v>180</v>
      </c>
      <c r="D32" s="59" t="s">
        <v>61</v>
      </c>
      <c r="E32" s="102" t="s">
        <v>156</v>
      </c>
    </row>
    <row r="33" spans="1:6" ht="15" customHeight="1" x14ac:dyDescent="0.2">
      <c r="A33" s="98"/>
      <c r="B33" s="97"/>
      <c r="C33" s="13" t="s">
        <v>179</v>
      </c>
      <c r="D33" s="59" t="s">
        <v>61</v>
      </c>
      <c r="E33" s="102"/>
    </row>
    <row r="34" spans="1:6" ht="15" customHeight="1" x14ac:dyDescent="0.2">
      <c r="A34" s="98"/>
      <c r="B34" s="97"/>
      <c r="C34" s="13" t="s">
        <v>181</v>
      </c>
      <c r="D34" s="59" t="s">
        <v>61</v>
      </c>
      <c r="E34" s="102"/>
    </row>
    <row r="35" spans="1:6" ht="15" customHeight="1" x14ac:dyDescent="0.2">
      <c r="A35" s="98"/>
      <c r="B35" s="97"/>
      <c r="C35" s="13" t="s">
        <v>158</v>
      </c>
      <c r="D35" s="59" t="s">
        <v>61</v>
      </c>
      <c r="E35" s="102"/>
      <c r="F35" s="100" t="s">
        <v>178</v>
      </c>
    </row>
    <row r="36" spans="1:6" ht="20.25" customHeight="1" x14ac:dyDescent="0.2">
      <c r="A36" s="98"/>
      <c r="B36" s="97"/>
      <c r="C36" s="13" t="s">
        <v>159</v>
      </c>
      <c r="D36" s="59" t="s">
        <v>61</v>
      </c>
      <c r="E36" s="102"/>
      <c r="F36" s="101"/>
    </row>
    <row r="37" spans="1:6" ht="15" customHeight="1" x14ac:dyDescent="0.2">
      <c r="A37" s="98"/>
      <c r="B37" s="97"/>
      <c r="C37" s="13" t="s">
        <v>160</v>
      </c>
      <c r="D37" s="27" t="s">
        <v>61</v>
      </c>
      <c r="E37" s="102"/>
    </row>
    <row r="38" spans="1:6" ht="15" customHeight="1" x14ac:dyDescent="0.2">
      <c r="A38" s="98"/>
      <c r="B38" s="97"/>
      <c r="C38" s="13" t="s">
        <v>161</v>
      </c>
      <c r="D38" s="27" t="s">
        <v>61</v>
      </c>
      <c r="E38" s="102"/>
    </row>
    <row r="39" spans="1:6" x14ac:dyDescent="0.2">
      <c r="A39" s="98"/>
      <c r="C39" s="13" t="s">
        <v>165</v>
      </c>
      <c r="D39" s="27" t="s">
        <v>65</v>
      </c>
      <c r="E39" s="102"/>
    </row>
    <row r="40" spans="1:6" x14ac:dyDescent="0.2">
      <c r="A40" s="98"/>
      <c r="B40" s="67" t="s">
        <v>186</v>
      </c>
      <c r="C40" s="13" t="s">
        <v>164</v>
      </c>
      <c r="D40" s="27" t="s">
        <v>61</v>
      </c>
      <c r="E40" s="102"/>
    </row>
    <row r="41" spans="1:6" ht="15" customHeight="1" x14ac:dyDescent="0.2">
      <c r="A41" s="98"/>
      <c r="B41" s="97" t="s">
        <v>196</v>
      </c>
      <c r="C41" s="13" t="s">
        <v>162</v>
      </c>
      <c r="D41" s="27" t="s">
        <v>61</v>
      </c>
      <c r="E41" s="102"/>
    </row>
    <row r="42" spans="1:6" ht="15" customHeight="1" x14ac:dyDescent="0.2">
      <c r="A42" s="98"/>
      <c r="B42" s="97"/>
      <c r="C42" s="13" t="s">
        <v>163</v>
      </c>
      <c r="D42" s="27" t="s">
        <v>61</v>
      </c>
      <c r="E42" s="102"/>
    </row>
    <row r="43" spans="1:6" x14ac:dyDescent="0.2">
      <c r="A43" s="98"/>
      <c r="C43" s="13" t="s">
        <v>168</v>
      </c>
      <c r="D43" s="27" t="s">
        <v>123</v>
      </c>
      <c r="E43" s="102"/>
    </row>
    <row r="44" spans="1:6" x14ac:dyDescent="0.2">
      <c r="A44" s="98"/>
      <c r="C44" s="13" t="s">
        <v>169</v>
      </c>
      <c r="D44" s="27" t="s">
        <v>123</v>
      </c>
      <c r="E44" s="102"/>
    </row>
    <row r="45" spans="1:6" x14ac:dyDescent="0.2">
      <c r="A45" s="98"/>
      <c r="B45" s="67">
        <v>42712</v>
      </c>
      <c r="C45" s="13" t="s">
        <v>171</v>
      </c>
      <c r="D45" s="27" t="s">
        <v>61</v>
      </c>
      <c r="E45" s="102"/>
    </row>
    <row r="46" spans="1:6" x14ac:dyDescent="0.2">
      <c r="A46" s="98">
        <v>42712</v>
      </c>
      <c r="C46" s="13" t="s">
        <v>172</v>
      </c>
      <c r="D46" s="27" t="s">
        <v>123</v>
      </c>
      <c r="E46" s="99" t="s">
        <v>173</v>
      </c>
    </row>
    <row r="47" spans="1:6" x14ac:dyDescent="0.2">
      <c r="A47" s="98"/>
      <c r="C47" s="13" t="s">
        <v>175</v>
      </c>
      <c r="D47" s="27" t="s">
        <v>123</v>
      </c>
      <c r="E47" s="99"/>
    </row>
    <row r="48" spans="1:6" ht="24" x14ac:dyDescent="0.2">
      <c r="A48" s="98"/>
      <c r="B48" s="97">
        <v>42712</v>
      </c>
      <c r="C48" s="13" t="s">
        <v>176</v>
      </c>
      <c r="D48" s="27" t="s">
        <v>61</v>
      </c>
      <c r="E48" s="99"/>
    </row>
    <row r="49" spans="1:5" ht="15" customHeight="1" x14ac:dyDescent="0.2">
      <c r="A49" s="98"/>
      <c r="B49" s="97"/>
      <c r="C49" s="13" t="s">
        <v>182</v>
      </c>
      <c r="D49" s="27" t="s">
        <v>61</v>
      </c>
      <c r="E49" s="99"/>
    </row>
    <row r="50" spans="1:5" ht="15" customHeight="1" x14ac:dyDescent="0.2">
      <c r="A50" s="98"/>
      <c r="B50" s="97"/>
      <c r="C50" s="13" t="s">
        <v>183</v>
      </c>
      <c r="D50" s="27" t="s">
        <v>61</v>
      </c>
      <c r="E50" s="99"/>
    </row>
    <row r="51" spans="1:5" ht="15" customHeight="1" x14ac:dyDescent="0.2">
      <c r="A51" s="98"/>
      <c r="B51" s="97"/>
      <c r="C51" s="13" t="s">
        <v>182</v>
      </c>
      <c r="D51" s="27" t="s">
        <v>61</v>
      </c>
      <c r="E51" s="99"/>
    </row>
    <row r="52" spans="1:5" ht="15" customHeight="1" x14ac:dyDescent="0.2">
      <c r="A52" s="98"/>
      <c r="B52" s="97"/>
      <c r="C52" s="13" t="s">
        <v>183</v>
      </c>
      <c r="D52" s="27" t="s">
        <v>61</v>
      </c>
      <c r="E52" s="99"/>
    </row>
    <row r="53" spans="1:5" ht="15" customHeight="1" x14ac:dyDescent="0.2">
      <c r="A53" s="98"/>
      <c r="B53" s="97"/>
      <c r="C53" s="13" t="s">
        <v>184</v>
      </c>
      <c r="D53" s="27" t="s">
        <v>61</v>
      </c>
      <c r="E53" s="99"/>
    </row>
    <row r="54" spans="1:5" ht="24" x14ac:dyDescent="0.2">
      <c r="A54" s="98" t="s">
        <v>190</v>
      </c>
      <c r="B54" s="71" t="s">
        <v>186</v>
      </c>
      <c r="C54" s="13" t="s">
        <v>188</v>
      </c>
      <c r="D54" s="27" t="s">
        <v>61</v>
      </c>
      <c r="E54" s="99" t="s">
        <v>220</v>
      </c>
    </row>
    <row r="55" spans="1:5" ht="15" customHeight="1" x14ac:dyDescent="0.2">
      <c r="A55" s="98"/>
      <c r="B55" s="73" t="s">
        <v>212</v>
      </c>
      <c r="C55" s="13" t="s">
        <v>189</v>
      </c>
      <c r="D55" s="27" t="s">
        <v>61</v>
      </c>
      <c r="E55" s="99"/>
    </row>
    <row r="56" spans="1:5" ht="15" customHeight="1" x14ac:dyDescent="0.2">
      <c r="A56" s="98"/>
      <c r="B56" s="97" t="s">
        <v>186</v>
      </c>
      <c r="C56" s="13" t="s">
        <v>191</v>
      </c>
      <c r="D56" s="27" t="s">
        <v>61</v>
      </c>
      <c r="E56" s="99"/>
    </row>
    <row r="57" spans="1:5" ht="15" customHeight="1" x14ac:dyDescent="0.2">
      <c r="A57" s="98"/>
      <c r="B57" s="97"/>
      <c r="C57" s="13" t="s">
        <v>192</v>
      </c>
      <c r="D57" s="27" t="s">
        <v>61</v>
      </c>
      <c r="E57" s="99"/>
    </row>
    <row r="58" spans="1:5" ht="15" customHeight="1" x14ac:dyDescent="0.2">
      <c r="A58" s="98"/>
      <c r="B58" s="97"/>
      <c r="C58" s="13" t="s">
        <v>193</v>
      </c>
      <c r="D58" s="27" t="s">
        <v>61</v>
      </c>
      <c r="E58" s="99"/>
    </row>
    <row r="59" spans="1:5" ht="15" customHeight="1" x14ac:dyDescent="0.2">
      <c r="A59" s="98"/>
      <c r="B59" s="97"/>
      <c r="C59" s="13" t="s">
        <v>195</v>
      </c>
      <c r="D59" s="27" t="s">
        <v>61</v>
      </c>
      <c r="E59" s="99"/>
    </row>
    <row r="60" spans="1:5" ht="15" customHeight="1" x14ac:dyDescent="0.2">
      <c r="A60" s="98"/>
      <c r="B60" s="97"/>
      <c r="C60" s="13" t="s">
        <v>194</v>
      </c>
      <c r="D60" s="27" t="s">
        <v>61</v>
      </c>
      <c r="E60" s="99"/>
    </row>
    <row r="61" spans="1:5" ht="15" customHeight="1" x14ac:dyDescent="0.2">
      <c r="A61" s="98" t="s">
        <v>196</v>
      </c>
      <c r="B61" s="97" t="s">
        <v>196</v>
      </c>
      <c r="C61" s="13" t="s">
        <v>202</v>
      </c>
      <c r="D61" s="27" t="s">
        <v>61</v>
      </c>
      <c r="E61" s="99" t="s">
        <v>197</v>
      </c>
    </row>
    <row r="62" spans="1:5" ht="15" customHeight="1" x14ac:dyDescent="0.2">
      <c r="A62" s="98"/>
      <c r="B62" s="97"/>
      <c r="C62" s="13" t="s">
        <v>201</v>
      </c>
      <c r="D62" s="27" t="s">
        <v>61</v>
      </c>
      <c r="E62" s="99"/>
    </row>
    <row r="63" spans="1:5" ht="15" customHeight="1" x14ac:dyDescent="0.2">
      <c r="A63" s="98"/>
      <c r="B63" s="97"/>
      <c r="C63" s="13" t="s">
        <v>203</v>
      </c>
      <c r="D63" s="27" t="s">
        <v>61</v>
      </c>
      <c r="E63" s="99"/>
    </row>
    <row r="64" spans="1:5" x14ac:dyDescent="0.2">
      <c r="A64" s="98"/>
      <c r="B64" s="67" t="s">
        <v>235</v>
      </c>
      <c r="C64" s="13" t="s">
        <v>204</v>
      </c>
      <c r="D64" s="27" t="s">
        <v>61</v>
      </c>
      <c r="E64" s="99"/>
    </row>
    <row r="65" spans="1:5" ht="15" customHeight="1" x14ac:dyDescent="0.2">
      <c r="A65" s="98"/>
      <c r="B65" s="97" t="s">
        <v>196</v>
      </c>
      <c r="C65" s="13" t="s">
        <v>208</v>
      </c>
      <c r="D65" s="27" t="s">
        <v>61</v>
      </c>
      <c r="E65" s="99"/>
    </row>
    <row r="66" spans="1:5" ht="15" customHeight="1" x14ac:dyDescent="0.2">
      <c r="A66" s="98"/>
      <c r="B66" s="97"/>
      <c r="C66" s="13" t="s">
        <v>205</v>
      </c>
      <c r="D66" s="27" t="s">
        <v>61</v>
      </c>
      <c r="E66" s="99"/>
    </row>
    <row r="67" spans="1:5" x14ac:dyDescent="0.2">
      <c r="A67" s="98"/>
      <c r="B67" s="67" t="s">
        <v>235</v>
      </c>
      <c r="C67" s="13" t="s">
        <v>206</v>
      </c>
      <c r="D67" s="27" t="s">
        <v>61</v>
      </c>
      <c r="E67" s="99"/>
    </row>
    <row r="68" spans="1:5" x14ac:dyDescent="0.2">
      <c r="A68" s="98"/>
      <c r="B68" s="67" t="s">
        <v>196</v>
      </c>
      <c r="C68" s="13" t="s">
        <v>207</v>
      </c>
      <c r="D68" s="27" t="s">
        <v>61</v>
      </c>
      <c r="E68" s="99"/>
    </row>
    <row r="69" spans="1:5" ht="24" x14ac:dyDescent="0.2">
      <c r="A69" s="98"/>
      <c r="B69" s="67" t="s">
        <v>254</v>
      </c>
      <c r="C69" s="72" t="s">
        <v>209</v>
      </c>
      <c r="D69" s="27" t="s">
        <v>61</v>
      </c>
      <c r="E69" s="99"/>
    </row>
    <row r="70" spans="1:5" x14ac:dyDescent="0.2">
      <c r="A70" s="98"/>
      <c r="C70" s="13" t="s">
        <v>210</v>
      </c>
      <c r="D70" s="27" t="s">
        <v>125</v>
      </c>
      <c r="E70" s="99"/>
    </row>
    <row r="71" spans="1:5" ht="24" x14ac:dyDescent="0.2">
      <c r="A71" s="98"/>
      <c r="C71" s="13" t="s">
        <v>211</v>
      </c>
      <c r="D71" s="27" t="s">
        <v>65</v>
      </c>
      <c r="E71" s="99"/>
    </row>
    <row r="72" spans="1:5" ht="15" customHeight="1" x14ac:dyDescent="0.2">
      <c r="A72" s="98" t="s">
        <v>212</v>
      </c>
      <c r="B72" s="97" t="s">
        <v>225</v>
      </c>
      <c r="C72" s="13" t="s">
        <v>214</v>
      </c>
      <c r="D72" s="27" t="s">
        <v>61</v>
      </c>
      <c r="E72" s="99" t="s">
        <v>218</v>
      </c>
    </row>
    <row r="73" spans="1:5" ht="15" customHeight="1" x14ac:dyDescent="0.2">
      <c r="A73" s="98"/>
      <c r="B73" s="97"/>
      <c r="C73" s="13" t="s">
        <v>215</v>
      </c>
      <c r="D73" s="27" t="s">
        <v>61</v>
      </c>
      <c r="E73" s="99"/>
    </row>
    <row r="74" spans="1:5" ht="15" customHeight="1" x14ac:dyDescent="0.2">
      <c r="A74" s="98"/>
      <c r="B74" s="97"/>
      <c r="C74" s="13" t="s">
        <v>216</v>
      </c>
      <c r="D74" s="27" t="s">
        <v>61</v>
      </c>
      <c r="E74" s="99"/>
    </row>
    <row r="75" spans="1:5" x14ac:dyDescent="0.2">
      <c r="A75" s="98"/>
      <c r="B75" s="67" t="s">
        <v>234</v>
      </c>
      <c r="C75" s="13" t="s">
        <v>217</v>
      </c>
      <c r="D75" s="27" t="s">
        <v>61</v>
      </c>
      <c r="E75" s="99"/>
    </row>
    <row r="76" spans="1:5" x14ac:dyDescent="0.2">
      <c r="A76" s="98"/>
      <c r="C76" s="13" t="s">
        <v>219</v>
      </c>
      <c r="D76" s="27" t="s">
        <v>123</v>
      </c>
      <c r="E76" s="99"/>
    </row>
    <row r="77" spans="1:5" x14ac:dyDescent="0.2">
      <c r="A77" s="98"/>
      <c r="B77" s="67" t="s">
        <v>212</v>
      </c>
      <c r="C77" s="13" t="s">
        <v>223</v>
      </c>
      <c r="D77" s="27" t="s">
        <v>61</v>
      </c>
      <c r="E77" s="99"/>
    </row>
    <row r="78" spans="1:5" ht="24" x14ac:dyDescent="0.2">
      <c r="A78" s="98" t="s">
        <v>225</v>
      </c>
      <c r="B78" s="67" t="s">
        <v>225</v>
      </c>
      <c r="C78" s="13" t="s">
        <v>224</v>
      </c>
      <c r="D78" s="27" t="s">
        <v>61</v>
      </c>
      <c r="E78" s="99" t="s">
        <v>226</v>
      </c>
    </row>
    <row r="79" spans="1:5" x14ac:dyDescent="0.2">
      <c r="A79" s="98"/>
      <c r="C79" s="13" t="s">
        <v>229</v>
      </c>
      <c r="D79" s="27" t="s">
        <v>65</v>
      </c>
      <c r="E79" s="99"/>
    </row>
    <row r="80" spans="1:5" ht="24" x14ac:dyDescent="0.2">
      <c r="A80" s="98"/>
      <c r="B80" s="97" t="s">
        <v>225</v>
      </c>
      <c r="C80" s="13" t="s">
        <v>231</v>
      </c>
      <c r="D80" s="27" t="s">
        <v>61</v>
      </c>
      <c r="E80" s="99"/>
    </row>
    <row r="81" spans="1:5" ht="24" x14ac:dyDescent="0.2">
      <c r="A81" s="98"/>
      <c r="B81" s="97"/>
      <c r="C81" s="13" t="s">
        <v>233</v>
      </c>
      <c r="D81" s="27" t="s">
        <v>61</v>
      </c>
      <c r="E81" s="99"/>
    </row>
    <row r="82" spans="1:5" ht="24" x14ac:dyDescent="0.2">
      <c r="A82" s="98" t="s">
        <v>235</v>
      </c>
      <c r="B82" s="97" t="s">
        <v>242</v>
      </c>
      <c r="C82" s="13" t="s">
        <v>238</v>
      </c>
      <c r="D82" s="27" t="s">
        <v>61</v>
      </c>
      <c r="E82" s="99" t="s">
        <v>237</v>
      </c>
    </row>
    <row r="83" spans="1:5" ht="24" x14ac:dyDescent="0.2">
      <c r="A83" s="98"/>
      <c r="B83" s="97"/>
      <c r="C83" s="13" t="s">
        <v>239</v>
      </c>
      <c r="D83" s="27" t="s">
        <v>61</v>
      </c>
      <c r="E83" s="99"/>
    </row>
    <row r="84" spans="1:5" ht="24" x14ac:dyDescent="0.2">
      <c r="A84" s="98"/>
      <c r="B84" s="67" t="s">
        <v>247</v>
      </c>
      <c r="C84" s="13" t="s">
        <v>240</v>
      </c>
      <c r="D84" s="27" t="s">
        <v>61</v>
      </c>
      <c r="E84" s="99"/>
    </row>
    <row r="85" spans="1:5" ht="24" x14ac:dyDescent="0.2">
      <c r="A85" s="98"/>
      <c r="C85" s="75" t="s">
        <v>271</v>
      </c>
      <c r="D85" s="27" t="s">
        <v>65</v>
      </c>
      <c r="E85" s="99"/>
    </row>
    <row r="86" spans="1:5" x14ac:dyDescent="0.2">
      <c r="A86" s="65" t="s">
        <v>242</v>
      </c>
      <c r="C86" s="13" t="s">
        <v>246</v>
      </c>
      <c r="D86" s="27" t="s">
        <v>65</v>
      </c>
      <c r="E86" s="74" t="s">
        <v>243</v>
      </c>
    </row>
    <row r="87" spans="1:5" x14ac:dyDescent="0.2">
      <c r="A87" s="81" t="s">
        <v>249</v>
      </c>
      <c r="B87" s="67" t="s">
        <v>249</v>
      </c>
      <c r="C87" s="13" t="s">
        <v>253</v>
      </c>
      <c r="D87" s="27" t="s">
        <v>61</v>
      </c>
      <c r="E87" s="80" t="s">
        <v>251</v>
      </c>
    </row>
    <row r="88" spans="1:5" ht="15" customHeight="1" x14ac:dyDescent="0.2">
      <c r="A88" s="98" t="s">
        <v>254</v>
      </c>
      <c r="B88" s="97" t="s">
        <v>254</v>
      </c>
      <c r="C88" s="13" t="s">
        <v>256</v>
      </c>
      <c r="D88" s="27" t="s">
        <v>61</v>
      </c>
      <c r="E88" s="99" t="s">
        <v>257</v>
      </c>
    </row>
    <row r="89" spans="1:5" ht="15" customHeight="1" x14ac:dyDescent="0.2">
      <c r="A89" s="98"/>
      <c r="B89" s="97"/>
      <c r="C89" s="13" t="s">
        <v>258</v>
      </c>
      <c r="D89" s="27" t="s">
        <v>61</v>
      </c>
      <c r="E89" s="99"/>
    </row>
    <row r="90" spans="1:5" ht="24" x14ac:dyDescent="0.2">
      <c r="A90" s="98"/>
      <c r="B90" s="97"/>
      <c r="C90" s="13" t="s">
        <v>261</v>
      </c>
      <c r="D90" s="27" t="s">
        <v>61</v>
      </c>
      <c r="E90" s="99"/>
    </row>
    <row r="91" spans="1:5" ht="15" customHeight="1" x14ac:dyDescent="0.2">
      <c r="A91" s="98"/>
      <c r="B91" s="97"/>
      <c r="C91" s="13" t="s">
        <v>260</v>
      </c>
      <c r="D91" s="27" t="s">
        <v>61</v>
      </c>
      <c r="E91" s="99"/>
    </row>
    <row r="92" spans="1:5" ht="24" x14ac:dyDescent="0.2">
      <c r="A92" s="98"/>
      <c r="B92" s="67" t="s">
        <v>265</v>
      </c>
      <c r="C92" s="13" t="s">
        <v>259</v>
      </c>
      <c r="D92" s="27" t="s">
        <v>61</v>
      </c>
      <c r="E92" s="99"/>
    </row>
    <row r="93" spans="1:5" ht="24" x14ac:dyDescent="0.2">
      <c r="A93" s="98"/>
      <c r="B93" s="97" t="s">
        <v>254</v>
      </c>
      <c r="C93" s="13" t="s">
        <v>262</v>
      </c>
      <c r="D93" s="27" t="s">
        <v>61</v>
      </c>
      <c r="E93" s="99"/>
    </row>
    <row r="94" spans="1:5" ht="24" x14ac:dyDescent="0.2">
      <c r="A94" s="98"/>
      <c r="B94" s="97"/>
      <c r="C94" s="13" t="s">
        <v>263</v>
      </c>
      <c r="D94" s="27" t="s">
        <v>61</v>
      </c>
      <c r="E94" s="99"/>
    </row>
    <row r="95" spans="1:5" ht="15" customHeight="1" x14ac:dyDescent="0.2">
      <c r="A95" s="98"/>
      <c r="B95" s="97"/>
      <c r="C95" s="13" t="s">
        <v>264</v>
      </c>
      <c r="D95" s="27" t="s">
        <v>61</v>
      </c>
      <c r="E95" s="99"/>
    </row>
    <row r="96" spans="1:5" x14ac:dyDescent="0.2">
      <c r="A96" s="65" t="s">
        <v>265</v>
      </c>
      <c r="B96" s="67" t="s">
        <v>265</v>
      </c>
      <c r="C96" s="13" t="s">
        <v>270</v>
      </c>
      <c r="D96" s="27" t="s">
        <v>61</v>
      </c>
      <c r="E96" s="77" t="s">
        <v>266</v>
      </c>
    </row>
    <row r="97" spans="1:5" ht="24" x14ac:dyDescent="0.2">
      <c r="A97" s="98" t="s">
        <v>272</v>
      </c>
      <c r="B97" s="97" t="s">
        <v>272</v>
      </c>
      <c r="C97" s="13" t="s">
        <v>273</v>
      </c>
      <c r="D97" s="27" t="s">
        <v>61</v>
      </c>
      <c r="E97" s="99" t="s">
        <v>274</v>
      </c>
    </row>
    <row r="98" spans="1:5" ht="15" customHeight="1" x14ac:dyDescent="0.2">
      <c r="A98" s="98"/>
      <c r="B98" s="97"/>
      <c r="C98" s="13" t="s">
        <v>277</v>
      </c>
      <c r="D98" s="27" t="s">
        <v>61</v>
      </c>
      <c r="E98" s="99"/>
    </row>
    <row r="99" spans="1:5" ht="24" x14ac:dyDescent="0.2">
      <c r="A99" s="98"/>
      <c r="C99" s="13" t="s">
        <v>278</v>
      </c>
      <c r="D99" s="27" t="s">
        <v>65</v>
      </c>
      <c r="E99" s="99"/>
    </row>
    <row r="100" spans="1:5" x14ac:dyDescent="0.2">
      <c r="A100" s="98" t="s">
        <v>279</v>
      </c>
      <c r="B100" s="67" t="s">
        <v>279</v>
      </c>
      <c r="C100" s="13" t="s">
        <v>281</v>
      </c>
      <c r="D100" s="27" t="s">
        <v>61</v>
      </c>
      <c r="E100" s="99" t="s">
        <v>282</v>
      </c>
    </row>
    <row r="101" spans="1:5" x14ac:dyDescent="0.2">
      <c r="A101" s="98"/>
      <c r="C101" s="13" t="s">
        <v>284</v>
      </c>
      <c r="D101" s="27" t="s">
        <v>65</v>
      </c>
      <c r="E101" s="99"/>
    </row>
    <row r="102" spans="1:5" x14ac:dyDescent="0.2">
      <c r="A102" s="98"/>
      <c r="C102" s="13" t="s">
        <v>285</v>
      </c>
      <c r="D102" s="27" t="s">
        <v>65</v>
      </c>
      <c r="E102" s="99"/>
    </row>
    <row r="103" spans="1:5" x14ac:dyDescent="0.2">
      <c r="A103" s="98"/>
      <c r="C103" s="13" t="s">
        <v>286</v>
      </c>
      <c r="D103" s="27" t="s">
        <v>123</v>
      </c>
      <c r="E103" s="99"/>
    </row>
    <row r="104" spans="1:5" x14ac:dyDescent="0.2">
      <c r="A104" s="65" t="s">
        <v>287</v>
      </c>
      <c r="B104" s="67" t="s">
        <v>287</v>
      </c>
      <c r="C104" s="13" t="s">
        <v>288</v>
      </c>
      <c r="D104" s="27" t="s">
        <v>61</v>
      </c>
      <c r="E104" s="82" t="s">
        <v>289</v>
      </c>
    </row>
    <row r="105" spans="1:5" ht="15" customHeight="1" x14ac:dyDescent="0.2">
      <c r="A105" s="98" t="s">
        <v>297</v>
      </c>
      <c r="B105" s="97" t="s">
        <v>313</v>
      </c>
      <c r="C105" s="13" t="s">
        <v>312</v>
      </c>
      <c r="D105" s="27" t="s">
        <v>61</v>
      </c>
      <c r="E105" s="99" t="s">
        <v>298</v>
      </c>
    </row>
    <row r="106" spans="1:5" ht="15" customHeight="1" x14ac:dyDescent="0.2">
      <c r="A106" s="98"/>
      <c r="B106" s="97"/>
      <c r="C106" s="13" t="s">
        <v>299</v>
      </c>
      <c r="D106" s="27" t="s">
        <v>61</v>
      </c>
      <c r="E106" s="99"/>
    </row>
    <row r="107" spans="1:5" x14ac:dyDescent="0.2">
      <c r="A107" s="98"/>
      <c r="C107" s="13" t="s">
        <v>300</v>
      </c>
      <c r="D107" s="27" t="s">
        <v>123</v>
      </c>
      <c r="E107" s="99"/>
    </row>
    <row r="108" spans="1:5" ht="15" customHeight="1" x14ac:dyDescent="0.2">
      <c r="A108" s="98"/>
      <c r="B108" s="97" t="s">
        <v>313</v>
      </c>
      <c r="C108" s="13" t="s">
        <v>301</v>
      </c>
      <c r="D108" s="27" t="s">
        <v>61</v>
      </c>
      <c r="E108" s="99"/>
    </row>
    <row r="109" spans="1:5" ht="15" customHeight="1" x14ac:dyDescent="0.2">
      <c r="A109" s="98"/>
      <c r="B109" s="97"/>
      <c r="C109" s="13" t="s">
        <v>303</v>
      </c>
      <c r="D109" s="27" t="s">
        <v>61</v>
      </c>
      <c r="E109" s="99"/>
    </row>
    <row r="110" spans="1:5" x14ac:dyDescent="0.2">
      <c r="A110" s="98"/>
      <c r="C110" s="13" t="s">
        <v>304</v>
      </c>
      <c r="D110" s="27" t="s">
        <v>123</v>
      </c>
      <c r="E110" s="99"/>
    </row>
    <row r="111" spans="1:5" ht="15" customHeight="1" x14ac:dyDescent="0.2">
      <c r="A111" s="98"/>
      <c r="B111" s="97" t="s">
        <v>313</v>
      </c>
      <c r="C111" s="13" t="s">
        <v>302</v>
      </c>
      <c r="D111" s="27" t="s">
        <v>61</v>
      </c>
      <c r="E111" s="99"/>
    </row>
    <row r="112" spans="1:5" ht="15" customHeight="1" x14ac:dyDescent="0.2">
      <c r="A112" s="98" t="s">
        <v>313</v>
      </c>
      <c r="B112" s="97"/>
      <c r="C112" s="13" t="s">
        <v>314</v>
      </c>
      <c r="D112" s="27" t="s">
        <v>61</v>
      </c>
      <c r="E112" s="99" t="s">
        <v>316</v>
      </c>
    </row>
    <row r="113" spans="1:5" ht="15" customHeight="1" x14ac:dyDescent="0.2">
      <c r="A113" s="98"/>
      <c r="B113" s="97"/>
      <c r="C113" s="13" t="s">
        <v>315</v>
      </c>
      <c r="D113" s="27" t="s">
        <v>61</v>
      </c>
      <c r="E113" s="99"/>
    </row>
    <row r="114" spans="1:5" ht="15" customHeight="1" x14ac:dyDescent="0.2">
      <c r="A114" s="98"/>
      <c r="B114" s="97"/>
      <c r="C114" s="13" t="s">
        <v>319</v>
      </c>
      <c r="D114" s="27" t="s">
        <v>61</v>
      </c>
      <c r="E114" s="99"/>
    </row>
    <row r="115" spans="1:5" ht="15" customHeight="1" x14ac:dyDescent="0.2">
      <c r="A115" s="98"/>
      <c r="B115" s="97"/>
      <c r="C115" s="13" t="s">
        <v>320</v>
      </c>
      <c r="D115" s="27" t="s">
        <v>61</v>
      </c>
      <c r="E115" s="99"/>
    </row>
    <row r="116" spans="1:5" ht="15" customHeight="1" x14ac:dyDescent="0.2">
      <c r="A116" s="98"/>
      <c r="B116" s="97"/>
      <c r="C116" s="13" t="s">
        <v>321</v>
      </c>
      <c r="D116" s="27" t="s">
        <v>61</v>
      </c>
      <c r="E116" s="99"/>
    </row>
    <row r="117" spans="1:5" ht="24" x14ac:dyDescent="0.2">
      <c r="A117" s="98"/>
      <c r="C117" s="13" t="s">
        <v>322</v>
      </c>
      <c r="D117" s="27" t="s">
        <v>65</v>
      </c>
      <c r="E117" s="99"/>
    </row>
    <row r="118" spans="1:5" x14ac:dyDescent="0.2">
      <c r="A118" s="98" t="s">
        <v>324</v>
      </c>
      <c r="C118" s="13" t="s">
        <v>325</v>
      </c>
      <c r="D118" s="27" t="s">
        <v>125</v>
      </c>
      <c r="E118" s="99" t="s">
        <v>327</v>
      </c>
    </row>
    <row r="119" spans="1:5" x14ac:dyDescent="0.2">
      <c r="A119" s="98"/>
      <c r="C119" s="13" t="s">
        <v>326</v>
      </c>
      <c r="D119" s="27" t="s">
        <v>123</v>
      </c>
      <c r="E119" s="99"/>
    </row>
    <row r="120" spans="1:5" x14ac:dyDescent="0.2">
      <c r="A120" s="98"/>
      <c r="B120" s="67" t="s">
        <v>324</v>
      </c>
      <c r="C120" s="13" t="s">
        <v>330</v>
      </c>
      <c r="D120" s="27" t="s">
        <v>61</v>
      </c>
      <c r="E120" s="99"/>
    </row>
    <row r="121" spans="1:5" ht="24" x14ac:dyDescent="0.2">
      <c r="A121" s="98"/>
      <c r="C121" s="13" t="s">
        <v>331</v>
      </c>
      <c r="D121" s="27" t="s">
        <v>65</v>
      </c>
      <c r="E121" s="99"/>
    </row>
    <row r="122" spans="1:5" ht="24" x14ac:dyDescent="0.2">
      <c r="A122" s="98"/>
      <c r="B122" s="67" t="s">
        <v>324</v>
      </c>
      <c r="C122" s="13" t="s">
        <v>332</v>
      </c>
      <c r="D122" s="27" t="s">
        <v>61</v>
      </c>
      <c r="E122" s="99"/>
    </row>
  </sheetData>
  <mergeCells count="61"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A54:A60"/>
    <mergeCell ref="B56:B60"/>
    <mergeCell ref="E54:E60"/>
    <mergeCell ref="E61:E71"/>
    <mergeCell ref="A61:A71"/>
    <mergeCell ref="B61:B63"/>
    <mergeCell ref="B65:B66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A118:A122"/>
    <mergeCell ref="E118:E122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2016-08-30T03:32:51Z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