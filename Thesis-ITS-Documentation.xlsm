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/>
  <bookViews>
    <workbookView xWindow="240" yWindow="105" windowWidth="14805" windowHeight="8010" activeTab="3"/>
  </bookViews>
  <sheets>
    <sheet name="Information" sheetId="1" r:id="rId1"/>
    <sheet name="Models" sheetId="3" r:id="rId2"/>
    <sheet name="Summary Plan" sheetId="6" r:id="rId3"/>
    <sheet name="Planning" sheetId="4" r:id="rId4"/>
    <sheet name="Checklist" sheetId="5" r:id="rId5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/>
</workbook>
</file>

<file path=xl/calcChain.xml><?xml version="1.0" encoding="utf-8"?>
<calcChain xmlns="http://schemas.openxmlformats.org/spreadsheetml/2006/main">
  <c r="I4" i="6" l="1"/>
  <c r="B4" i="6"/>
  <c r="B5" i="6"/>
  <c r="I6" i="6" l="1"/>
  <c r="I7" i="6"/>
  <c r="I5" i="6"/>
  <c r="B6" i="6"/>
  <c r="B7" i="6" l="1"/>
  <c r="C6" i="6" s="1"/>
  <c r="I8" i="6"/>
  <c r="J6" i="6" s="1"/>
  <c r="J5" i="6" l="1"/>
  <c r="J7" i="6"/>
  <c r="J4" i="6"/>
  <c r="C5" i="6"/>
  <c r="C4" i="6"/>
</calcChain>
</file>

<file path=xl/sharedStrings.xml><?xml version="1.0" encoding="utf-8"?>
<sst xmlns="http://schemas.openxmlformats.org/spreadsheetml/2006/main" count="309" uniqueCount="183">
  <si>
    <t>Thesis ITS</t>
  </si>
  <si>
    <t>Lesson</t>
  </si>
  <si>
    <t>Extends</t>
  </si>
  <si>
    <t>Implements</t>
  </si>
  <si>
    <t>Class</t>
  </si>
  <si>
    <t>Package</t>
  </si>
  <si>
    <t>N/A</t>
  </si>
  <si>
    <t>Serializable</t>
  </si>
  <si>
    <t>Fields</t>
  </si>
  <si>
    <t>Level</t>
  </si>
  <si>
    <t>TextLesson</t>
  </si>
  <si>
    <t>com.westlyf.domain.lesson</t>
  </si>
  <si>
    <t>VideoLesson</t>
  </si>
  <si>
    <t>Module</t>
  </si>
  <si>
    <t>QuizExercise</t>
  </si>
  <si>
    <t>com.westlyf.domain.exercise.quiz</t>
  </si>
  <si>
    <t>Exercise</t>
  </si>
  <si>
    <t>com.westlyf.domain.exercise</t>
  </si>
  <si>
    <t>QuizItem</t>
  </si>
  <si>
    <t>QuizType (enum)</t>
  </si>
  <si>
    <t>CHECKBOX
RADIOBUTTON</t>
  </si>
  <si>
    <t>Outline</t>
  </si>
  <si>
    <t>database</t>
  </si>
  <si>
    <t>registration</t>
  </si>
  <si>
    <t>account</t>
  </si>
  <si>
    <t>login</t>
  </si>
  <si>
    <t>profile</t>
  </si>
  <si>
    <t>levels</t>
  </si>
  <si>
    <t>lessons</t>
  </si>
  <si>
    <t>exercises</t>
  </si>
  <si>
    <t>exams</t>
  </si>
  <si>
    <t>text</t>
  </si>
  <si>
    <t>video</t>
  </si>
  <si>
    <t>quizzes</t>
  </si>
  <si>
    <t>practical</t>
  </si>
  <si>
    <t>diagnostics</t>
  </si>
  <si>
    <t>analytics</t>
  </si>
  <si>
    <t>data</t>
  </si>
  <si>
    <t>progress</t>
  </si>
  <si>
    <t>GUI</t>
  </si>
  <si>
    <t>model</t>
  </si>
  <si>
    <t>Finished</t>
  </si>
  <si>
    <t>Not Finished</t>
  </si>
  <si>
    <t>May not implement</t>
  </si>
  <si>
    <t>Legend:</t>
  </si>
  <si>
    <t>Computation</t>
  </si>
  <si>
    <t>user model</t>
  </si>
  <si>
    <t>Analytics</t>
  </si>
  <si>
    <t>Database</t>
  </si>
  <si>
    <t>FacialExpressionRecognition</t>
  </si>
  <si>
    <t>RunTimeCompilation</t>
  </si>
  <si>
    <t>UserInterFaces</t>
  </si>
  <si>
    <t>VideoPlayer</t>
  </si>
  <si>
    <t>7/23/16</t>
  </si>
  <si>
    <t>Date planned</t>
  </si>
  <si>
    <t>*fix quiz maker controller - add lists to catch textareas
*for creating quizzes
*make sample</t>
  </si>
  <si>
    <t>*fix tag-matcher</t>
  </si>
  <si>
    <t>Tasks</t>
  </si>
  <si>
    <t>Date Finished</t>
  </si>
  <si>
    <t>7/24/16</t>
  </si>
  <si>
    <t>Status</t>
  </si>
  <si>
    <t>Completed</t>
  </si>
  <si>
    <t>* questionTextAreas</t>
  </si>
  <si>
    <t>* choices - toggleGroup (for radio buttons)</t>
  </si>
  <si>
    <t>* choices - checkboxes</t>
  </si>
  <si>
    <t>Not Started</t>
  </si>
  <si>
    <t>* make an ItemGUI model - for holding gui inputs</t>
  </si>
  <si>
    <t>* make a QuizGUI model - for holding gui inputs</t>
  </si>
  <si>
    <t>Checklist!A3</t>
  </si>
  <si>
    <t>Link to Checklist</t>
  </si>
  <si>
    <t>Link to planning</t>
  </si>
  <si>
    <t>Planning!I3</t>
  </si>
  <si>
    <t>* quizTypeGroup</t>
  </si>
  <si>
    <t>* export to QuizExercise</t>
  </si>
  <si>
    <t>* fix tag matcher - problem matching</t>
  </si>
  <si>
    <t>Make arraylists for the quiz maker controller. Add models for GUI holders. And, fix tag.</t>
  </si>
  <si>
    <t>QuizGUI</t>
  </si>
  <si>
    <t>ItemGUI</t>
  </si>
  <si>
    <t>com.westlyf.domain.exercise.quiz.gui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</si>
  <si>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text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</si>
  <si>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pathLocation</t>
    </r>
  </si>
  <si>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totalItems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totalScore</t>
    </r>
  </si>
  <si>
    <r>
      <rPr>
        <sz val="11"/>
        <color rgb="FF00B050"/>
        <rFont val="Calibri"/>
        <family val="2"/>
        <scheme val="minor"/>
      </rPr>
      <t>ArrayList&lt;QuizItem&gt;</t>
    </r>
    <r>
      <rPr>
        <sz val="11"/>
        <color theme="1"/>
        <rFont val="Calibri"/>
        <family val="2"/>
        <scheme val="minor"/>
      </rPr>
      <t xml:space="preserve"> quizItems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quizTitle
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</si>
  <si>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choices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validAnswers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points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pointsPerCorrect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type
</t>
    </r>
    <r>
      <rPr>
        <sz val="11"/>
        <color rgb="FF00B050"/>
        <rFont val="Calibri"/>
        <family val="2"/>
        <scheme val="minor"/>
      </rPr>
      <t>BooleanProperty</t>
    </r>
    <r>
      <rPr>
        <sz val="11"/>
        <color theme="1"/>
        <rFont val="Calibri"/>
        <family val="2"/>
        <scheme val="minor"/>
      </rPr>
      <t xml:space="preserve"> oneAnswer</t>
    </r>
  </si>
  <si>
    <r>
      <rPr>
        <sz val="11"/>
        <color rgb="FF00B050"/>
        <rFont val="Calibri"/>
        <family val="2"/>
        <scheme val="minor"/>
      </rPr>
      <t>TextArea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quizType
</t>
    </r>
    <r>
      <rPr>
        <sz val="11"/>
        <color rgb="FF00B050"/>
        <rFont val="Calibri"/>
        <family val="2"/>
        <scheme val="minor"/>
      </rPr>
      <t>ArrayList&lt;CheckBox&gt;</t>
    </r>
    <r>
      <rPr>
        <sz val="11"/>
        <color theme="1"/>
        <rFont val="Calibri"/>
        <family val="2"/>
        <scheme val="minor"/>
      </rPr>
      <t xml:space="preserve"> checkBoxChoices
</t>
    </r>
    <r>
      <rPr>
        <sz val="11"/>
        <color rgb="FF00B050"/>
        <rFont val="Calibri"/>
        <family val="2"/>
        <scheme val="minor"/>
      </rPr>
      <t>ToggleGroup</t>
    </r>
    <r>
      <rPr>
        <sz val="11"/>
        <color theme="1"/>
        <rFont val="Calibri"/>
        <family val="2"/>
        <scheme val="minor"/>
      </rPr>
      <t xml:space="preserve"> choicesToggleGroup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color theme="1"/>
        <rFont val="Calibri"/>
        <family val="2"/>
        <scheme val="minor"/>
      </rPr>
      <t xml:space="preserve"> choices</t>
    </r>
  </si>
  <si>
    <t>Mark</t>
  </si>
  <si>
    <t>No</t>
  </si>
  <si>
    <t>Date Planned</t>
  </si>
  <si>
    <t>*fix points calculation - QuizItem
*fix quiz maker - error handle if no answer is picked. Create alert</t>
  </si>
  <si>
    <t>Planning!I4</t>
  </si>
  <si>
    <t>Date finished</t>
  </si>
  <si>
    <t>*make runtime sample for classes, methods, statements using JavaCompiler</t>
  </si>
  <si>
    <t>7/25/16</t>
  </si>
  <si>
    <t>* fix points calculation in QuizItem</t>
  </si>
  <si>
    <t>* fix quizmaker error - handle if no answer is picked. Create alert box.</t>
  </si>
  <si>
    <t>Planning!I5</t>
  </si>
  <si>
    <t>* make runtime compilation sample - JavaCompiler</t>
  </si>
  <si>
    <t>Checklist!A12</t>
  </si>
  <si>
    <t>Checklist!A14</t>
  </si>
  <si>
    <t>Yes</t>
  </si>
  <si>
    <t>*QuizExcercise gui for answering quizzes</t>
  </si>
  <si>
    <t>* QuizExcercise gui for answering quizzes</t>
  </si>
  <si>
    <t>*LessonMaker -creates lesson dynamically for videos, textlessons, other kinds?
* added title variable to lesson</t>
  </si>
  <si>
    <r>
      <rPr>
        <sz val="11"/>
        <color rgb="FF00B050"/>
        <rFont val="Calibri"/>
        <family val="2"/>
        <scheme val="minor"/>
      </rPr>
      <t>TextField</t>
    </r>
    <r>
      <rPr>
        <sz val="11"/>
        <rFont val="Calibri"/>
        <family val="2"/>
        <scheme val="minor"/>
      </rPr>
      <t xml:space="preserve"> title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ArrayList&lt;ItemGUI&gt;</t>
    </r>
    <r>
      <rPr>
        <sz val="11"/>
        <rFont val="Calibri"/>
        <family val="2"/>
        <scheme val="minor"/>
      </rPr>
      <t xml:space="preserve"> items</t>
    </r>
  </si>
  <si>
    <t>7/26/16</t>
  </si>
  <si>
    <t>Facial expression recognition - opencv webcam test</t>
  </si>
  <si>
    <t>Planning!I6</t>
  </si>
  <si>
    <t>Checklist!A17</t>
  </si>
  <si>
    <t>Others</t>
  </si>
  <si>
    <t>*check out DataFX</t>
  </si>
  <si>
    <t>*QuizDisplay - for answering quizzes</t>
  </si>
  <si>
    <t>Some</t>
  </si>
  <si>
    <t>*opencv webcam test
*opencv face detection test</t>
  </si>
  <si>
    <t>*opencv facial features detection test</t>
  </si>
  <si>
    <t>7/27/16</t>
  </si>
  <si>
    <t>* QuizDisplay for displaying and answering quizzes</t>
  </si>
  <si>
    <t>* opencv facial features detection test</t>
  </si>
  <si>
    <t>* check out DataFX</t>
  </si>
  <si>
    <t>Planning!J7</t>
  </si>
  <si>
    <t>Checklist!A18</t>
  </si>
  <si>
    <t>7/28/16</t>
  </si>
  <si>
    <t>Summary Planning</t>
  </si>
  <si>
    <t>Count</t>
  </si>
  <si>
    <t>Percent</t>
  </si>
  <si>
    <t>Total</t>
  </si>
  <si>
    <t>Working</t>
  </si>
  <si>
    <t>Summary Checklist</t>
  </si>
  <si>
    <t>Fixing</t>
  </si>
  <si>
    <t>Data</t>
  </si>
  <si>
    <t>* LessonMakerController  -creates lesson dynamically. Binding gui to lesson.</t>
  </si>
  <si>
    <t>7/29/16</t>
  </si>
  <si>
    <t>* fix GUI holder. Bind quiz to properties</t>
  </si>
  <si>
    <t>* remove GUI holders for exercises or quizzes</t>
  </si>
  <si>
    <t>* fix gui holder for quizzes. Just bind the gui to quiz properties. Make use of properties.
* remove GUI holders for exercises or quizzes</t>
  </si>
  <si>
    <t>Planning!J8</t>
  </si>
  <si>
    <t>Checklist!A21</t>
  </si>
  <si>
    <t>7/30/16</t>
  </si>
  <si>
    <t>* convert some properties to StringProperty. Make use of bind method</t>
  </si>
  <si>
    <t>* Lesson: String -&gt; StringProperty</t>
  </si>
  <si>
    <t>* Exercise: String -&gt; StringProperty</t>
  </si>
  <si>
    <t>Planning!J9</t>
  </si>
  <si>
    <t>Checklist!A23</t>
  </si>
  <si>
    <t>* fix together with the properties of lesson modules.
* lesson and level class: String -&gt; StringProperty</t>
  </si>
  <si>
    <t>* Level: String -&gt; StringProperty</t>
  </si>
  <si>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String</t>
    </r>
    <r>
      <rPr>
        <sz val="11"/>
        <color theme="1"/>
        <rFont val="Calibri"/>
        <family val="2"/>
        <scheme val="minor"/>
      </rPr>
      <t xml:space="preserve"> lessonId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title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</si>
  <si>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levelId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title
</t>
    </r>
    <r>
      <rPr>
        <sz val="11"/>
        <color rgb="FF00B050"/>
        <rFont val="Calibri"/>
        <family val="2"/>
        <scheme val="minor"/>
      </rPr>
      <t>ArrayList&lt;Level&gt;</t>
    </r>
    <r>
      <rPr>
        <sz val="11"/>
        <color theme="1"/>
        <rFont val="Calibri"/>
        <family val="2"/>
        <scheme val="minor"/>
      </rPr>
      <t xml:space="preserve"> subLevels
</t>
    </r>
    <r>
      <rPr>
        <sz val="11"/>
        <color rgb="FF00B050"/>
        <rFont val="Calibri"/>
        <family val="2"/>
        <scheme val="minor"/>
      </rPr>
      <t xml:space="preserve"> BooleanProperty</t>
    </r>
    <r>
      <rPr>
        <sz val="11"/>
        <color theme="1"/>
        <rFont val="Calibri"/>
        <family val="2"/>
        <scheme val="minor"/>
      </rPr>
      <t xml:space="preserve"> unlocked
</t>
    </r>
    <r>
      <rPr>
        <sz val="11"/>
        <color rgb="FF00B050"/>
        <rFont val="Calibri"/>
        <family val="2"/>
        <scheme val="minor"/>
      </rPr>
      <t xml:space="preserve"> ArrayList&lt;StringProperty&gt;</t>
    </r>
    <r>
      <rPr>
        <sz val="11"/>
        <color theme="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Node</t>
    </r>
    <r>
      <rPr>
        <sz val="11"/>
        <color theme="1"/>
        <rFont val="Calibri"/>
        <family val="2"/>
        <scheme val="minor"/>
      </rPr>
      <t xml:space="preserve"> graphics</t>
    </r>
  </si>
  <si>
    <t>Checklist!A26</t>
  </si>
  <si>
    <t>* make VideoLessonMakerController</t>
  </si>
  <si>
    <t>Planning!J10</t>
  </si>
  <si>
    <t>* make TextLessonMakerController</t>
  </si>
  <si>
    <t>* bind videoLesson to maker</t>
  </si>
  <si>
    <t>* bind textLesson to maker</t>
  </si>
  <si>
    <r>
      <t>* bind lessons to maker</t>
    </r>
    <r>
      <rPr>
        <sz val="11"/>
        <color rgb="FFC00000"/>
        <rFont val="Calibri"/>
        <family val="2"/>
      </rPr>
      <t xml:space="preserve">
</t>
    </r>
    <r>
      <rPr>
        <sz val="11"/>
        <color rgb="FF00B050"/>
        <rFont val="Calibri"/>
        <family val="2"/>
      </rPr>
      <t>* make VideoLessonMakerController
* make TextLessonMakerController</t>
    </r>
  </si>
  <si>
    <t>* confirmation for making lessons before pushing to database. It should show all the properties of the lessons first</t>
  </si>
  <si>
    <t>* make alert for confirmation before pushing to database</t>
  </si>
  <si>
    <t>Planning!J11</t>
  </si>
  <si>
    <t>Checklist!A30</t>
  </si>
  <si>
    <t>* show properties of the lesson made for confirmation</t>
  </si>
  <si>
    <t>Planning!J12</t>
  </si>
  <si>
    <t>Checklist!A32</t>
  </si>
  <si>
    <t>* invalid method - Lesson</t>
  </si>
  <si>
    <t>* invalid method - Textlesson</t>
  </si>
  <si>
    <t>* invalid method - VideoLesson</t>
  </si>
  <si>
    <t>* upload TextLesson to database - TEST</t>
  </si>
  <si>
    <t>* upload VideoLesson to database - TEST</t>
  </si>
  <si>
    <t>* make user database</t>
  </si>
  <si>
    <t>* make lesson database</t>
  </si>
  <si>
    <t>* upload TextLesson to database</t>
  </si>
  <si>
    <t>* upload VideoLesson to database</t>
  </si>
  <si>
    <t>* make tables for lessons</t>
  </si>
  <si>
    <t>* make tables for user profiles and such</t>
  </si>
  <si>
    <t>* upload lessons to database if valid and confirmed - Test
* invalid method for each Lesson object to give info about error</t>
  </si>
  <si>
    <t>* make static methods for getting and storing data from and into the databases
* make tables inside of user and lesson database
* upload lessons to database
* make database model for connection: users, lessons, etc.</t>
  </si>
  <si>
    <t>* make static methods for UserDatabase</t>
  </si>
  <si>
    <t>* make static methods for LessonDatabase</t>
  </si>
  <si>
    <t>* exercise viewer for answering quizzes just the GUI first</t>
  </si>
  <si>
    <t>* GUI of viewing quizzes</t>
  </si>
  <si>
    <t>* submit quiz viewer - data validation</t>
  </si>
  <si>
    <t>Planning!J13</t>
  </si>
  <si>
    <t>Checklist!A46</t>
  </si>
  <si>
    <t>* submit quiz viewer - confirmation</t>
  </si>
  <si>
    <t>* submit quiz viewer - binding answers to QuizExercise object</t>
  </si>
  <si>
    <t>* quiz exercise viewer submit button with data validation and confirmation
* bind answers to QuizExercise if submitted and confirmed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</si>
</sst>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70C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rgb="FFFFC000"/>
      <name val="Calibri"/>
      <family val="2"/>
      <scheme val="minor"/>
    </font>
    <font>
      <sz val="11"/>
      <color rgb="FF00B050"/>
      <name val="Calibri"/>
      <family val="2"/>
    </font>
    <font>
      <sz val="11"/>
      <color rgb="FFC00000"/>
      <name val="Calibri"/>
      <family val="2"/>
    </font>
    <font>
      <sz val="11"/>
      <color rgb="FF7030A0"/>
      <name val="Calibri"/>
      <family val="2"/>
    </font>
    <font>
      <sz val="11"/>
      <color rgb="FFFFFFFF"/>
      <name val="Calibri"/>
      <family val="2"/>
    </font>
    <font>
      <sz val="9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39997558519241921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92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Fill="1" applyAlignment="1">
      <alignment horizontal="center" vertical="center"/>
    </xf>
    <xf numFmtId="0" fontId="0" fillId="4" borderId="0" xfId="0" applyFill="1"/>
    <xf numFmtId="0" fontId="0" fillId="5" borderId="0" xfId="0" applyFill="1"/>
    <xf numFmtId="0" fontId="0" fillId="0" borderId="0" xfId="0" applyFill="1"/>
    <xf numFmtId="0" fontId="0" fillId="2" borderId="0" xfId="0" applyFill="1"/>
    <xf numFmtId="0" fontId="1" fillId="0" borderId="0" xfId="0" applyFont="1" applyAlignment="1">
      <alignment vertical="center"/>
    </xf>
    <xf numFmtId="0" fontId="1" fillId="0" borderId="0" xfId="0" applyFont="1" applyFill="1"/>
    <xf numFmtId="0" fontId="1" fillId="0" borderId="0" xfId="0" applyFont="1"/>
    <xf numFmtId="0" fontId="2" fillId="0" borderId="0" xfId="0" applyFont="1" applyAlignment="1">
      <alignment vertical="center" wrapText="1"/>
    </xf>
    <xf numFmtId="0" fontId="2" fillId="0" borderId="0" xfId="0" applyFont="1"/>
    <xf numFmtId="0" fontId="3" fillId="7" borderId="0" xfId="0" applyFont="1" applyFill="1" applyAlignment="1">
      <alignment horizontal="center" vertical="center" wrapText="1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2" borderId="0" xfId="0" applyFill="1"/>
    <xf numFmtId="0" fontId="3" fillId="7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vertical="top" wrapText="1"/>
    </xf>
    <xf numFmtId="0" fontId="10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3" fillId="7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0" xfId="1" applyFont="1" applyAlignment="1">
      <alignment horizontal="center" vertical="center" wrapText="1"/>
    </xf>
    <xf numFmtId="0" fontId="8" fillId="0" borderId="0" xfId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8" fillId="0" borderId="0" xfId="1" applyAlignment="1">
      <alignment horizontal="center" vertical="center" wrapText="1"/>
    </xf>
    <xf numFmtId="0" fontId="0" fillId="0" borderId="0" xfId="0" applyFont="1" applyAlignment="1">
      <alignment horizontal="left" vertical="top" wrapText="1"/>
    </xf>
    <xf numFmtId="0" fontId="1" fillId="0" borderId="0" xfId="0" applyFont="1" applyFill="1" applyAlignment="1">
      <alignment horizontal="center" vertical="top" wrapText="1"/>
    </xf>
    <xf numFmtId="0" fontId="0" fillId="0" borderId="0" xfId="0" applyAlignment="1">
      <alignment horizontal="center"/>
    </xf>
    <xf numFmtId="0" fontId="9" fillId="0" borderId="0" xfId="0" applyFont="1"/>
    <xf numFmtId="0" fontId="14" fillId="0" borderId="0" xfId="0" applyFont="1"/>
    <xf numFmtId="0" fontId="17" fillId="0" borderId="0" xfId="0" applyFont="1"/>
    <xf numFmtId="10" fontId="9" fillId="0" borderId="0" xfId="0" applyNumberFormat="1" applyFont="1"/>
    <xf numFmtId="10" fontId="17" fillId="0" borderId="0" xfId="0" applyNumberFormat="1" applyFont="1"/>
    <xf numFmtId="10" fontId="14" fillId="0" borderId="0" xfId="0" applyNumberFormat="1" applyFont="1"/>
    <xf numFmtId="0" fontId="0" fillId="0" borderId="0" xfId="0" applyAlignment="1">
      <alignment horizontal="right"/>
    </xf>
    <xf numFmtId="0" fontId="9" fillId="0" borderId="0" xfId="0" applyFont="1" applyAlignment="1">
      <alignment horizontal="right"/>
    </xf>
    <xf numFmtId="0" fontId="14" fillId="0" borderId="0" xfId="0" applyFont="1" applyAlignment="1">
      <alignment horizontal="right"/>
    </xf>
    <xf numFmtId="0" fontId="16" fillId="0" borderId="0" xfId="0" applyFont="1" applyAlignment="1">
      <alignment horizontal="right"/>
    </xf>
    <xf numFmtId="0" fontId="15" fillId="0" borderId="0" xfId="0" applyFont="1" applyAlignment="1">
      <alignment horizontal="right"/>
    </xf>
    <xf numFmtId="10" fontId="16" fillId="0" borderId="0" xfId="0" applyNumberFormat="1" applyFont="1" applyAlignment="1">
      <alignment horizontal="right"/>
    </xf>
    <xf numFmtId="10" fontId="9" fillId="0" borderId="0" xfId="0" applyNumberFormat="1" applyFont="1" applyAlignment="1">
      <alignment horizontal="right"/>
    </xf>
    <xf numFmtId="10" fontId="14" fillId="0" borderId="0" xfId="0" applyNumberFormat="1" applyFont="1" applyAlignment="1">
      <alignment horizontal="right"/>
    </xf>
    <xf numFmtId="10" fontId="15" fillId="0" borderId="0" xfId="0" applyNumberFormat="1" applyFont="1" applyAlignment="1">
      <alignment horizontal="right"/>
    </xf>
    <xf numFmtId="0" fontId="0" fillId="8" borderId="0" xfId="0" applyFill="1" applyAlignment="1">
      <alignment horizontal="center" vertical="center"/>
    </xf>
    <xf numFmtId="0" fontId="18" fillId="0" borderId="0" xfId="0" applyFont="1" applyAlignment="1">
      <alignment horizontal="left" vertical="top" wrapText="1"/>
    </xf>
    <xf numFmtId="0" fontId="21" fillId="0" borderId="0" xfId="0" applyFont="1" applyAlignment="1">
      <alignment horizontal="center" vertical="center" wrapText="1"/>
    </xf>
    <xf numFmtId="0" fontId="0" fillId="0" borderId="0" xfId="0" applyFont="1" applyAlignment="1"/>
    <xf numFmtId="0" fontId="22" fillId="0" borderId="0" xfId="0" applyFont="1" applyAlignment="1">
      <alignment vertical="center" wrapText="1"/>
    </xf>
    <xf numFmtId="0" fontId="22" fillId="0" borderId="3" xfId="0" applyFont="1" applyBorder="1" applyAlignment="1">
      <alignment horizontal="center" vertical="center"/>
    </xf>
    <xf numFmtId="14" fontId="12" fillId="0" borderId="0" xfId="0" applyNumberFormat="1" applyFont="1" applyAlignment="1">
      <alignment horizontal="center" vertical="center" wrapText="1"/>
    </xf>
    <xf numFmtId="14" fontId="9" fillId="0" borderId="0" xfId="0" applyNumberFormat="1" applyFont="1" applyAlignment="1">
      <alignment horizontal="center" vertical="center" wrapText="1"/>
    </xf>
    <xf numFmtId="14" fontId="12" fillId="0" borderId="0" xfId="0" applyNumberFormat="1" applyFont="1" applyFill="1" applyAlignment="1">
      <alignment horizontal="center" vertical="center" wrapText="1"/>
    </xf>
    <xf numFmtId="14" fontId="13" fillId="0" borderId="0" xfId="0" applyNumberFormat="1" applyFont="1" applyAlignment="1">
      <alignment horizontal="center" vertical="center" wrapText="1"/>
    </xf>
    <xf numFmtId="14" fontId="11" fillId="0" borderId="0" xfId="0" applyNumberFormat="1" applyFont="1" applyAlignment="1">
      <alignment horizontal="center" vertical="center" wrapText="1"/>
    </xf>
    <xf numFmtId="14" fontId="3" fillId="7" borderId="0" xfId="0" applyNumberFormat="1" applyFont="1" applyFill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14" fontId="9" fillId="0" borderId="0" xfId="0" applyNumberFormat="1" applyFont="1" applyFill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8" fillId="0" borderId="0" xfId="1" applyAlignment="1">
      <alignment horizontal="center" vertical="center"/>
    </xf>
    <xf numFmtId="0" fontId="1" fillId="0" borderId="0" xfId="0" applyFont="1" applyFill="1" applyAlignment="1">
      <alignment horizontal="center" vertical="center" wrapText="1"/>
    </xf>
    <xf numFmtId="0" fontId="8" fillId="0" borderId="2" xfId="1" applyFont="1" applyBorder="1" applyAlignment="1">
      <alignment horizontal="center" vertical="center"/>
    </xf>
    <xf numFmtId="14" fontId="12" fillId="0" borderId="0" xfId="0" applyNumberFormat="1" applyFont="1" applyFill="1" applyAlignment="1">
      <alignment horizontal="center" vertical="center"/>
    </xf>
    <xf numFmtId="0" fontId="8" fillId="0" borderId="2" xfId="1" applyBorder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14" fontId="12" fillId="0" borderId="0" xfId="0" applyNumberFormat="1" applyFont="1" applyAlignment="1">
      <alignment horizontal="center" vertical="center" wrapText="1"/>
    </xf>
    <xf numFmtId="14" fontId="9" fillId="0" borderId="0" xfId="0" applyNumberFormat="1" applyFont="1" applyFill="1" applyAlignment="1">
      <alignment horizontal="center" vertical="center"/>
    </xf>
    <xf numFmtId="0" fontId="8" fillId="0" borderId="0" xfId="1" applyBorder="1" applyAlignment="1">
      <alignment horizontal="center" vertical="center"/>
    </xf>
    <xf numFmtId="14" fontId="20" fillId="0" borderId="0" xfId="0" applyNumberFormat="1" applyFont="1" applyAlignment="1">
      <alignment horizontal="center" vertical="center"/>
    </xf>
    <xf numFmtId="14" fontId="0" fillId="0" borderId="0" xfId="0" applyNumberFormat="1" applyFont="1" applyAlignment="1"/>
    <xf numFmtId="0" fontId="8" fillId="0" borderId="4" xfId="1" applyBorder="1" applyAlignment="1">
      <alignment horizontal="center" vertical="center"/>
    </xf>
    <xf numFmtId="0" fontId="8" fillId="0" borderId="4" xfId="1" applyBorder="1"/>
    <xf numFmtId="14" fontId="9" fillId="0" borderId="0" xfId="0" applyNumberFormat="1" applyFont="1" applyAlignment="1">
      <alignment horizontal="center" vertical="center"/>
    </xf>
    <xf numFmtId="14" fontId="18" fillId="0" borderId="0" xfId="0" applyNumberFormat="1" applyFont="1" applyAlignment="1">
      <alignment horizontal="center" vertical="center"/>
    </xf>
  </cellXfs>
  <cellStyles count="2">
    <cellStyle name="Hyperlink" xfId="1" builtinId="8"/>
    <cellStyle name="Normal" xfId="0" builtinId="0"/>
  </cellStyles>
  <dxfs count="72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CC9900"/>
          <bgColor rgb="FFCC9900"/>
        </patternFill>
      </fill>
      <border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Medium9">
    <tableStyle name="MySqlDefault" pivot="0" table="0" count="2">
      <tableStyleElement type="wholeTable" dxfId="71"/>
      <tableStyleElement type="headerRow" dxfId="70"/>
    </tableStyle>
  </tableStyles>
  <colors>
    <mruColors>
      <color rgb="FFCC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Summary</a:t>
            </a:r>
            <a:r>
              <a:rPr lang="en-PH" baseline="0"/>
              <a:t> Planning</a:t>
            </a:r>
          </a:p>
          <a:p>
            <a:pPr>
              <a:defRPr/>
            </a:pPr>
            <a:endParaRPr lang="en-PH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layout/>
              </c:ext>
            </c:extLst>
          </c:dLbls>
          <c:cat>
            <c:strRef>
              <c:f>'Summary Plan'!$A$4:$A$6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Some</c:v>
                </c:pt>
              </c:strCache>
            </c:strRef>
          </c:cat>
          <c:val>
            <c:numRef>
              <c:f>'Summary Plan'!$C$4:$C$6</c:f>
              <c:numCache>
                <c:formatCode>0.00%</c:formatCode>
                <c:ptCount val="3"/>
                <c:pt idx="0">
                  <c:v>0.36363636363636365</c:v>
                </c:pt>
                <c:pt idx="1">
                  <c:v>0.54545454545454541</c:v>
                </c:pt>
                <c:pt idx="2">
                  <c:v>9.0909090909090912E-2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Summary</a:t>
            </a:r>
            <a:r>
              <a:rPr lang="en-PH" baseline="0"/>
              <a:t> Checklist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layout/>
              </c:ext>
            </c:extLst>
          </c:dLbls>
          <c:cat>
            <c:strRef>
              <c:f>'Summary Plan'!$H$4:$H$7</c:f>
              <c:strCache>
                <c:ptCount val="4"/>
                <c:pt idx="0">
                  <c:v>Completed</c:v>
                </c:pt>
                <c:pt idx="1">
                  <c:v>Not Started</c:v>
                </c:pt>
                <c:pt idx="2">
                  <c:v>Working</c:v>
                </c:pt>
                <c:pt idx="3">
                  <c:v>Fixing</c:v>
                </c:pt>
              </c:strCache>
            </c:strRef>
          </c:cat>
          <c:val>
            <c:numRef>
              <c:f>'Summary Plan'!$J$4:$J$7</c:f>
              <c:numCache>
                <c:formatCode>0.00%</c:formatCode>
                <c:ptCount val="4"/>
                <c:pt idx="0">
                  <c:v>0.60869565217391308</c:v>
                </c:pt>
                <c:pt idx="1">
                  <c:v>0.39130434782608697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</xdr:colOff>
      <xdr:row>7</xdr:row>
      <xdr:rowOff>28574</xdr:rowOff>
    </xdr:from>
    <xdr:to>
      <xdr:col>3</xdr:col>
      <xdr:colOff>600075</xdr:colOff>
      <xdr:row>18</xdr:row>
      <xdr:rowOff>57149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600075</xdr:colOff>
      <xdr:row>8</xdr:row>
      <xdr:rowOff>9525</xdr:rowOff>
    </xdr:from>
    <xdr:to>
      <xdr:col>11</xdr:col>
      <xdr:colOff>600075</xdr:colOff>
      <xdr:row>20</xdr:row>
      <xdr:rowOff>180975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documentation_col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00B050"/>
      </a:accent1>
      <a:accent2>
        <a:srgbClr val="C00000"/>
      </a:accent2>
      <a:accent3>
        <a:srgbClr val="FFC000"/>
      </a:accent3>
      <a:accent4>
        <a:srgbClr val="00B0F0"/>
      </a:accent4>
      <a:accent5>
        <a:srgbClr val="00B0F0"/>
      </a:accent5>
      <a:accent6>
        <a:srgbClr val="002060"/>
      </a:accent6>
      <a:hlink>
        <a:srgbClr val="0070C0"/>
      </a:hlink>
      <a:folHlink>
        <a:srgbClr val="E36C09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8"/>
  <sheetViews>
    <sheetView workbookViewId="0">
      <selection activeCell="F31" sqref="F31"/>
    </sheetView>
  </sheetViews>
  <sheetFormatPr defaultRowHeight="15" x14ac:dyDescent="0.25"/>
  <cols>
    <col min="1" max="1" width="13" style="12" customWidth="1"/>
    <col min="2" max="6" width="13" customWidth="1"/>
  </cols>
  <sheetData>
    <row r="1" spans="1:6" x14ac:dyDescent="0.25">
      <c r="A1" s="71" t="s">
        <v>0</v>
      </c>
      <c r="B1" s="71"/>
      <c r="C1" s="71"/>
    </row>
    <row r="2" spans="1:6" x14ac:dyDescent="0.25">
      <c r="A2" s="71"/>
      <c r="B2" s="71"/>
      <c r="C2" s="71"/>
    </row>
    <row r="3" spans="1:6" x14ac:dyDescent="0.25">
      <c r="A3" s="10"/>
      <c r="B3" s="1"/>
      <c r="C3" s="1"/>
      <c r="D3" s="1"/>
    </row>
    <row r="4" spans="1:6" x14ac:dyDescent="0.25">
      <c r="A4" s="11" t="s">
        <v>44</v>
      </c>
      <c r="B4" s="9" t="s">
        <v>41</v>
      </c>
      <c r="C4" s="7" t="s">
        <v>42</v>
      </c>
      <c r="D4" s="73" t="s">
        <v>43</v>
      </c>
      <c r="E4" s="73"/>
    </row>
    <row r="5" spans="1:6" x14ac:dyDescent="0.25">
      <c r="A5" s="72" t="s">
        <v>21</v>
      </c>
      <c r="B5" s="72"/>
      <c r="C5" s="72"/>
      <c r="D5" s="72"/>
      <c r="E5" s="72"/>
      <c r="F5" s="72"/>
    </row>
    <row r="6" spans="1:6" x14ac:dyDescent="0.25">
      <c r="A6" s="72"/>
      <c r="B6" s="72"/>
      <c r="C6" s="72"/>
      <c r="D6" s="72"/>
      <c r="E6" s="72"/>
      <c r="F6" s="72"/>
    </row>
    <row r="7" spans="1:6" x14ac:dyDescent="0.25">
      <c r="A7" s="7" t="s">
        <v>24</v>
      </c>
    </row>
    <row r="8" spans="1:6" x14ac:dyDescent="0.25">
      <c r="A8" s="70"/>
      <c r="B8" s="7" t="s">
        <v>25</v>
      </c>
    </row>
    <row r="9" spans="1:6" x14ac:dyDescent="0.25">
      <c r="A9" s="70"/>
      <c r="B9" s="7" t="s">
        <v>23</v>
      </c>
    </row>
    <row r="10" spans="1:6" x14ac:dyDescent="0.25">
      <c r="A10" s="70"/>
      <c r="C10" s="7" t="s">
        <v>35</v>
      </c>
    </row>
    <row r="11" spans="1:6" x14ac:dyDescent="0.25">
      <c r="A11" s="70"/>
      <c r="B11" s="7" t="s">
        <v>22</v>
      </c>
      <c r="C11" s="69"/>
    </row>
    <row r="12" spans="1:6" x14ac:dyDescent="0.25">
      <c r="A12" s="70"/>
      <c r="B12" s="7" t="s">
        <v>26</v>
      </c>
      <c r="C12" s="69"/>
    </row>
    <row r="13" spans="1:6" x14ac:dyDescent="0.25">
      <c r="A13" s="70"/>
      <c r="B13" s="7" t="s">
        <v>46</v>
      </c>
      <c r="C13" s="69"/>
    </row>
    <row r="14" spans="1:6" x14ac:dyDescent="0.25">
      <c r="A14" s="7" t="s">
        <v>27</v>
      </c>
      <c r="C14" s="69"/>
    </row>
    <row r="15" spans="1:6" x14ac:dyDescent="0.25">
      <c r="A15" s="70"/>
      <c r="B15" s="7" t="s">
        <v>28</v>
      </c>
      <c r="C15" s="69"/>
    </row>
    <row r="16" spans="1:6" x14ac:dyDescent="0.25">
      <c r="A16" s="70"/>
      <c r="B16" s="69"/>
      <c r="C16" s="7" t="s">
        <v>31</v>
      </c>
    </row>
    <row r="17" spans="1:4" x14ac:dyDescent="0.25">
      <c r="A17" s="70"/>
      <c r="B17" s="69"/>
      <c r="C17" s="69"/>
      <c r="D17" s="9" t="s">
        <v>40</v>
      </c>
    </row>
    <row r="18" spans="1:4" x14ac:dyDescent="0.25">
      <c r="A18" s="70"/>
      <c r="B18" s="69"/>
      <c r="C18" s="69"/>
      <c r="D18" s="9" t="s">
        <v>39</v>
      </c>
    </row>
    <row r="19" spans="1:4" x14ac:dyDescent="0.25">
      <c r="A19" s="70"/>
      <c r="B19" s="69"/>
      <c r="C19" s="69"/>
      <c r="D19" s="7" t="s">
        <v>22</v>
      </c>
    </row>
    <row r="20" spans="1:4" x14ac:dyDescent="0.25">
      <c r="A20" s="70"/>
      <c r="B20" s="69"/>
      <c r="C20" s="7" t="s">
        <v>32</v>
      </c>
    </row>
    <row r="21" spans="1:4" x14ac:dyDescent="0.25">
      <c r="A21" s="70"/>
      <c r="B21" s="69"/>
      <c r="C21" s="69"/>
      <c r="D21" s="9" t="s">
        <v>40</v>
      </c>
    </row>
    <row r="22" spans="1:4" x14ac:dyDescent="0.25">
      <c r="A22" s="70"/>
      <c r="B22" s="69"/>
      <c r="C22" s="69"/>
      <c r="D22" s="9" t="s">
        <v>39</v>
      </c>
    </row>
    <row r="23" spans="1:4" x14ac:dyDescent="0.25">
      <c r="A23" s="70"/>
      <c r="B23" s="69"/>
      <c r="C23" s="69"/>
      <c r="D23" s="7" t="s">
        <v>22</v>
      </c>
    </row>
    <row r="24" spans="1:4" x14ac:dyDescent="0.25">
      <c r="A24" s="70"/>
      <c r="B24" s="7" t="s">
        <v>29</v>
      </c>
      <c r="C24" s="69"/>
      <c r="D24" s="69"/>
    </row>
    <row r="25" spans="1:4" x14ac:dyDescent="0.25">
      <c r="A25" s="70"/>
      <c r="B25" s="69"/>
      <c r="C25" s="7" t="s">
        <v>33</v>
      </c>
      <c r="D25" s="69"/>
    </row>
    <row r="26" spans="1:4" x14ac:dyDescent="0.25">
      <c r="A26" s="70"/>
      <c r="B26" s="69"/>
      <c r="C26" s="69"/>
      <c r="D26" s="9" t="s">
        <v>40</v>
      </c>
    </row>
    <row r="27" spans="1:4" x14ac:dyDescent="0.25">
      <c r="A27" s="70"/>
      <c r="B27" s="69"/>
      <c r="C27" s="69"/>
      <c r="D27" s="7" t="s">
        <v>39</v>
      </c>
    </row>
    <row r="28" spans="1:4" x14ac:dyDescent="0.25">
      <c r="A28" s="70"/>
      <c r="B28" s="69"/>
      <c r="C28" s="69"/>
      <c r="D28" s="7" t="s">
        <v>22</v>
      </c>
    </row>
    <row r="29" spans="1:4" x14ac:dyDescent="0.25">
      <c r="A29" s="70"/>
      <c r="B29" s="69"/>
      <c r="C29" s="7" t="s">
        <v>34</v>
      </c>
    </row>
    <row r="30" spans="1:4" x14ac:dyDescent="0.25">
      <c r="A30" s="70"/>
      <c r="B30" s="69"/>
      <c r="C30" s="69"/>
      <c r="D30" s="7" t="s">
        <v>40</v>
      </c>
    </row>
    <row r="31" spans="1:4" x14ac:dyDescent="0.25">
      <c r="A31" s="70"/>
      <c r="B31" s="69"/>
      <c r="C31" s="69"/>
      <c r="D31" s="7" t="s">
        <v>39</v>
      </c>
    </row>
    <row r="32" spans="1:4" x14ac:dyDescent="0.25">
      <c r="A32" s="70"/>
      <c r="B32" s="69"/>
      <c r="C32" s="69"/>
      <c r="D32" s="7" t="s">
        <v>22</v>
      </c>
    </row>
    <row r="33" spans="1:4" x14ac:dyDescent="0.25">
      <c r="A33" s="70"/>
      <c r="B33" s="7" t="s">
        <v>30</v>
      </c>
      <c r="C33" s="69"/>
      <c r="D33" s="69"/>
    </row>
    <row r="34" spans="1:4" x14ac:dyDescent="0.25">
      <c r="A34" s="70"/>
      <c r="B34" s="69"/>
      <c r="C34" s="7" t="s">
        <v>33</v>
      </c>
      <c r="D34" s="69"/>
    </row>
    <row r="35" spans="1:4" x14ac:dyDescent="0.25">
      <c r="A35" s="70"/>
      <c r="B35" s="69"/>
      <c r="C35" s="74"/>
      <c r="D35" s="18" t="s">
        <v>40</v>
      </c>
    </row>
    <row r="36" spans="1:4" x14ac:dyDescent="0.25">
      <c r="A36" s="70"/>
      <c r="B36" s="69"/>
      <c r="C36" s="74"/>
      <c r="D36" s="7" t="s">
        <v>39</v>
      </c>
    </row>
    <row r="37" spans="1:4" x14ac:dyDescent="0.25">
      <c r="A37" s="70"/>
      <c r="B37" s="69"/>
      <c r="C37" s="74"/>
      <c r="D37" s="7" t="s">
        <v>22</v>
      </c>
    </row>
    <row r="38" spans="1:4" x14ac:dyDescent="0.25">
      <c r="A38" s="70"/>
      <c r="B38" s="69"/>
      <c r="C38" s="6" t="s">
        <v>34</v>
      </c>
    </row>
    <row r="39" spans="1:4" x14ac:dyDescent="0.25">
      <c r="A39" s="70"/>
      <c r="B39" s="69"/>
      <c r="C39" s="69"/>
      <c r="D39" s="6" t="s">
        <v>40</v>
      </c>
    </row>
    <row r="40" spans="1:4" x14ac:dyDescent="0.25">
      <c r="A40" s="70"/>
      <c r="B40" s="69"/>
      <c r="C40" s="69"/>
      <c r="D40" s="6" t="s">
        <v>39</v>
      </c>
    </row>
    <row r="41" spans="1:4" x14ac:dyDescent="0.25">
      <c r="A41" s="70"/>
      <c r="B41" s="69"/>
      <c r="C41" s="69"/>
      <c r="D41" s="6" t="s">
        <v>22</v>
      </c>
    </row>
    <row r="42" spans="1:4" x14ac:dyDescent="0.25">
      <c r="A42" s="7" t="s">
        <v>36</v>
      </c>
      <c r="B42" s="69"/>
      <c r="C42" s="69"/>
    </row>
    <row r="43" spans="1:4" x14ac:dyDescent="0.25">
      <c r="B43" s="7" t="s">
        <v>37</v>
      </c>
      <c r="C43" s="69"/>
    </row>
    <row r="44" spans="1:4" x14ac:dyDescent="0.25">
      <c r="C44" s="7" t="s">
        <v>39</v>
      </c>
    </row>
    <row r="45" spans="1:4" x14ac:dyDescent="0.25">
      <c r="B45" s="7" t="s">
        <v>38</v>
      </c>
    </row>
    <row r="46" spans="1:4" x14ac:dyDescent="0.25">
      <c r="C46" s="7" t="s">
        <v>39</v>
      </c>
    </row>
    <row r="47" spans="1:4" x14ac:dyDescent="0.25">
      <c r="C47" s="7" t="s">
        <v>45</v>
      </c>
    </row>
    <row r="48" spans="1:4" x14ac:dyDescent="0.25">
      <c r="A48" s="8"/>
    </row>
  </sheetData>
  <mergeCells count="17">
    <mergeCell ref="C17:C19"/>
    <mergeCell ref="C21:C24"/>
    <mergeCell ref="B16:B23"/>
    <mergeCell ref="C11:C15"/>
    <mergeCell ref="A8:A13"/>
    <mergeCell ref="A1:C2"/>
    <mergeCell ref="A5:F6"/>
    <mergeCell ref="D4:E4"/>
    <mergeCell ref="A15:A41"/>
    <mergeCell ref="B34:B42"/>
    <mergeCell ref="C39:C43"/>
    <mergeCell ref="C35:C37"/>
    <mergeCell ref="D33:D34"/>
    <mergeCell ref="C30:C33"/>
    <mergeCell ref="C26:C28"/>
    <mergeCell ref="B25:B32"/>
    <mergeCell ref="D24:D25"/>
  </mergeCells>
  <pageMargins left="0.7" right="0.7" top="0.75" bottom="0.75" header="0.3" footer="0.3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6"/>
  <sheetViews>
    <sheetView workbookViewId="0">
      <pane xSplit="1" topLeftCell="B1" activePane="topRight" state="frozen"/>
      <selection pane="topRight" activeCell="H6" sqref="H6"/>
    </sheetView>
  </sheetViews>
  <sheetFormatPr defaultRowHeight="15" x14ac:dyDescent="0.25"/>
  <cols>
    <col min="1" max="1" width="32.5703125" style="1" customWidth="1"/>
    <col min="2" max="9" width="32.5703125" customWidth="1"/>
    <col min="10" max="10" width="34.7109375" customWidth="1"/>
    <col min="11" max="11" width="35.28515625" customWidth="1"/>
    <col min="12" max="14" width="32.5703125" customWidth="1"/>
  </cols>
  <sheetData>
    <row r="1" spans="1:12" ht="34.5" customHeight="1" x14ac:dyDescent="0.25">
      <c r="A1" s="5" t="s">
        <v>13</v>
      </c>
      <c r="B1" s="75" t="s">
        <v>1</v>
      </c>
      <c r="C1" s="75"/>
      <c r="D1" s="75"/>
      <c r="E1" s="75"/>
      <c r="F1" s="76" t="s">
        <v>16</v>
      </c>
      <c r="G1" s="76"/>
      <c r="H1" s="76"/>
      <c r="I1" s="76"/>
      <c r="J1" s="76"/>
      <c r="K1" s="76"/>
      <c r="L1" s="54" t="s">
        <v>128</v>
      </c>
    </row>
    <row r="2" spans="1:12" s="2" customFormat="1" ht="37.5" customHeight="1" x14ac:dyDescent="0.25">
      <c r="A2" s="2" t="s">
        <v>4</v>
      </c>
      <c r="B2" s="5" t="s">
        <v>1</v>
      </c>
      <c r="C2" s="5" t="s">
        <v>9</v>
      </c>
      <c r="D2" s="5" t="s">
        <v>10</v>
      </c>
      <c r="E2" s="5" t="s">
        <v>12</v>
      </c>
      <c r="F2" s="2" t="s">
        <v>16</v>
      </c>
      <c r="G2" s="2" t="s">
        <v>14</v>
      </c>
      <c r="H2" s="2" t="s">
        <v>18</v>
      </c>
      <c r="I2" s="2" t="s">
        <v>19</v>
      </c>
      <c r="J2" s="2" t="s">
        <v>76</v>
      </c>
      <c r="K2" s="2" t="s">
        <v>77</v>
      </c>
    </row>
    <row r="3" spans="1:12" s="3" customFormat="1" ht="37.5" customHeight="1" x14ac:dyDescent="0.25">
      <c r="A3" s="2" t="s">
        <v>5</v>
      </c>
      <c r="B3" s="3" t="s">
        <v>11</v>
      </c>
      <c r="C3" s="3" t="s">
        <v>11</v>
      </c>
      <c r="D3" s="3" t="s">
        <v>11</v>
      </c>
      <c r="E3" s="3" t="s">
        <v>11</v>
      </c>
      <c r="F3" s="3" t="s">
        <v>17</v>
      </c>
      <c r="G3" s="3" t="s">
        <v>15</v>
      </c>
      <c r="H3" s="3" t="s">
        <v>15</v>
      </c>
      <c r="I3" s="3" t="s">
        <v>15</v>
      </c>
      <c r="J3" s="3" t="s">
        <v>78</v>
      </c>
      <c r="K3" s="16" t="s">
        <v>78</v>
      </c>
    </row>
    <row r="4" spans="1:12" s="3" customFormat="1" ht="37.5" customHeight="1" x14ac:dyDescent="0.25">
      <c r="A4" s="2" t="s">
        <v>2</v>
      </c>
      <c r="B4" s="3" t="s">
        <v>6</v>
      </c>
      <c r="C4" s="3" t="s">
        <v>6</v>
      </c>
      <c r="D4" s="3" t="s">
        <v>1</v>
      </c>
      <c r="E4" s="3" t="s">
        <v>1</v>
      </c>
      <c r="F4" s="3" t="s">
        <v>1</v>
      </c>
      <c r="G4" s="3" t="s">
        <v>16</v>
      </c>
      <c r="H4" s="3" t="s">
        <v>6</v>
      </c>
      <c r="I4" s="3" t="s">
        <v>6</v>
      </c>
      <c r="J4" s="3" t="s">
        <v>6</v>
      </c>
      <c r="K4" s="16" t="s">
        <v>6</v>
      </c>
    </row>
    <row r="5" spans="1:12" s="3" customFormat="1" ht="37.5" customHeight="1" x14ac:dyDescent="0.25">
      <c r="A5" s="2" t="s">
        <v>3</v>
      </c>
      <c r="B5" s="3" t="s">
        <v>7</v>
      </c>
      <c r="C5" s="3" t="s">
        <v>7</v>
      </c>
      <c r="D5" s="3" t="s">
        <v>7</v>
      </c>
      <c r="E5" s="3" t="s">
        <v>7</v>
      </c>
      <c r="F5" s="3" t="s">
        <v>7</v>
      </c>
      <c r="G5" s="3" t="s">
        <v>7</v>
      </c>
      <c r="H5" s="3" t="s">
        <v>7</v>
      </c>
      <c r="I5" s="3" t="s">
        <v>6</v>
      </c>
      <c r="J5" s="16" t="s">
        <v>6</v>
      </c>
      <c r="K5" s="16" t="s">
        <v>6</v>
      </c>
    </row>
    <row r="6" spans="1:12" s="3" customFormat="1" ht="134.25" customHeight="1" x14ac:dyDescent="0.25">
      <c r="A6" s="2" t="s">
        <v>8</v>
      </c>
      <c r="B6" s="4" t="s">
        <v>144</v>
      </c>
      <c r="C6" s="4" t="s">
        <v>145</v>
      </c>
      <c r="D6" s="3" t="s">
        <v>79</v>
      </c>
      <c r="E6" s="3" t="s">
        <v>80</v>
      </c>
      <c r="F6" s="4" t="s">
        <v>81</v>
      </c>
      <c r="G6" s="4" t="s">
        <v>82</v>
      </c>
      <c r="H6" s="4" t="s">
        <v>83</v>
      </c>
      <c r="I6" s="4" t="s">
        <v>20</v>
      </c>
      <c r="J6" s="22" t="s">
        <v>103</v>
      </c>
      <c r="K6" s="17" t="s">
        <v>84</v>
      </c>
    </row>
  </sheetData>
  <mergeCells count="2">
    <mergeCell ref="B1:E1"/>
    <mergeCell ref="F1:K1"/>
  </mergeCells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8"/>
  <sheetViews>
    <sheetView workbookViewId="0">
      <selection activeCell="I5" sqref="I5"/>
    </sheetView>
  </sheetViews>
  <sheetFormatPr defaultRowHeight="15" x14ac:dyDescent="0.25"/>
  <cols>
    <col min="3" max="3" width="9.140625" customWidth="1"/>
    <col min="8" max="10" width="11.140625" customWidth="1"/>
  </cols>
  <sheetData>
    <row r="1" spans="1:12" x14ac:dyDescent="0.25">
      <c r="A1" s="77" t="s">
        <v>121</v>
      </c>
      <c r="B1" s="77"/>
      <c r="C1" s="77"/>
      <c r="D1" s="77"/>
      <c r="H1" s="77" t="s">
        <v>126</v>
      </c>
      <c r="I1" s="77"/>
      <c r="J1" s="77"/>
      <c r="K1" s="77"/>
      <c r="L1" s="77"/>
    </row>
    <row r="2" spans="1:12" x14ac:dyDescent="0.25">
      <c r="A2" s="77"/>
      <c r="B2" s="77"/>
      <c r="C2" s="77"/>
      <c r="D2" s="77"/>
      <c r="H2" s="77"/>
      <c r="I2" s="77"/>
      <c r="J2" s="77"/>
      <c r="K2" s="77"/>
      <c r="L2" s="77"/>
    </row>
    <row r="3" spans="1:12" x14ac:dyDescent="0.25">
      <c r="A3" t="s">
        <v>60</v>
      </c>
      <c r="B3" t="s">
        <v>122</v>
      </c>
      <c r="C3" t="s">
        <v>123</v>
      </c>
      <c r="H3" s="38" t="s">
        <v>60</v>
      </c>
      <c r="I3" s="38" t="s">
        <v>122</v>
      </c>
      <c r="J3" s="38" t="s">
        <v>123</v>
      </c>
    </row>
    <row r="4" spans="1:12" x14ac:dyDescent="0.25">
      <c r="A4" s="25" t="s">
        <v>99</v>
      </c>
      <c r="B4" s="39">
        <f>COUNTIF(Planning!M3:M1048576,"Yes")</f>
        <v>4</v>
      </c>
      <c r="C4" s="42">
        <f>B4/B7</f>
        <v>0.36363636363636365</v>
      </c>
      <c r="H4" s="27" t="s">
        <v>61</v>
      </c>
      <c r="I4" s="46">
        <f>COUNTIF(Checklist!D2:D1048576,"Completed")</f>
        <v>28</v>
      </c>
      <c r="J4" s="51">
        <f>I4/I8</f>
        <v>0.60869565217391308</v>
      </c>
    </row>
    <row r="5" spans="1:12" x14ac:dyDescent="0.25">
      <c r="A5" s="25" t="s">
        <v>86</v>
      </c>
      <c r="B5" s="40">
        <f>COUNTIF(Planning!M3:M1048576,"No")</f>
        <v>6</v>
      </c>
      <c r="C5" s="44">
        <f>B5/B7</f>
        <v>0.54545454545454541</v>
      </c>
      <c r="H5" s="27" t="s">
        <v>65</v>
      </c>
      <c r="I5" s="47">
        <f>COUNTIF(Checklist!D2:D1048576,"Not Started")</f>
        <v>18</v>
      </c>
      <c r="J5" s="52">
        <f>I5/I8</f>
        <v>0.39130434782608697</v>
      </c>
    </row>
    <row r="6" spans="1:12" x14ac:dyDescent="0.25">
      <c r="A6" s="25" t="s">
        <v>111</v>
      </c>
      <c r="B6" s="41">
        <f>COUNTIF(Planning!M3:M1048576,"Some")</f>
        <v>1</v>
      </c>
      <c r="C6" s="43">
        <f>B6/B7</f>
        <v>9.0909090909090912E-2</v>
      </c>
      <c r="H6" s="27" t="s">
        <v>125</v>
      </c>
      <c r="I6" s="48">
        <f>COUNTIF(Checklist!D2:D1048576,"working")</f>
        <v>0</v>
      </c>
      <c r="J6" s="50">
        <f>I6/I8</f>
        <v>0</v>
      </c>
    </row>
    <row r="7" spans="1:12" x14ac:dyDescent="0.25">
      <c r="A7" s="38" t="s">
        <v>124</v>
      </c>
      <c r="B7">
        <f>SUM(B4:B6)</f>
        <v>11</v>
      </c>
      <c r="H7" s="27" t="s">
        <v>127</v>
      </c>
      <c r="I7" s="49">
        <f>COUNTIF(Checklist!D2:D1048576,"Fixing")</f>
        <v>0</v>
      </c>
      <c r="J7" s="53">
        <f>I7/I8</f>
        <v>0</v>
      </c>
    </row>
    <row r="8" spans="1:12" x14ac:dyDescent="0.25">
      <c r="H8" s="38" t="s">
        <v>124</v>
      </c>
      <c r="I8" s="45">
        <f>SUM(I4:I7)</f>
        <v>46</v>
      </c>
      <c r="J8" s="45"/>
    </row>
  </sheetData>
  <mergeCells count="2">
    <mergeCell ref="A1:D2"/>
    <mergeCell ref="H1:L2"/>
  </mergeCells>
  <conditionalFormatting sqref="A4">
    <cfRule type="cellIs" dxfId="69" priority="29" operator="equal">
      <formula>"Some"</formula>
    </cfRule>
    <cfRule type="cellIs" dxfId="68" priority="30" operator="equal">
      <formula>"Some"</formula>
    </cfRule>
    <cfRule type="cellIs" dxfId="67" priority="31" operator="equal">
      <formula>"No"</formula>
    </cfRule>
    <cfRule type="cellIs" dxfId="66" priority="32" operator="equal">
      <formula>"Yes"</formula>
    </cfRule>
  </conditionalFormatting>
  <conditionalFormatting sqref="A5">
    <cfRule type="cellIs" dxfId="65" priority="25" operator="equal">
      <formula>"Some"</formula>
    </cfRule>
    <cfRule type="cellIs" dxfId="64" priority="26" operator="equal">
      <formula>"Some"</formula>
    </cfRule>
    <cfRule type="cellIs" dxfId="63" priority="27" operator="equal">
      <formula>"No"</formula>
    </cfRule>
    <cfRule type="cellIs" dxfId="62" priority="28" operator="equal">
      <formula>"Yes"</formula>
    </cfRule>
  </conditionalFormatting>
  <conditionalFormatting sqref="A6">
    <cfRule type="cellIs" dxfId="61" priority="21" operator="equal">
      <formula>"Some"</formula>
    </cfRule>
    <cfRule type="cellIs" dxfId="60" priority="22" operator="equal">
      <formula>"Some"</formula>
    </cfRule>
    <cfRule type="cellIs" dxfId="59" priority="23" operator="equal">
      <formula>"No"</formula>
    </cfRule>
    <cfRule type="cellIs" dxfId="58" priority="24" operator="equal">
      <formula>"Yes"</formula>
    </cfRule>
  </conditionalFormatting>
  <conditionalFormatting sqref="H4">
    <cfRule type="cellIs" dxfId="57" priority="16" operator="equal">
      <formula>"Fixing"</formula>
    </cfRule>
    <cfRule type="cellIs" dxfId="56" priority="17" operator="equal">
      <formula>"Working"</formula>
    </cfRule>
    <cfRule type="cellIs" dxfId="55" priority="18" operator="equal">
      <formula>"Not started"</formula>
    </cfRule>
    <cfRule type="cellIs" dxfId="54" priority="19" operator="equal">
      <formula>"Completed"</formula>
    </cfRule>
    <cfRule type="cellIs" dxfId="53" priority="20" operator="equal">
      <formula>"Completed"</formula>
    </cfRule>
  </conditionalFormatting>
  <conditionalFormatting sqref="H5">
    <cfRule type="cellIs" dxfId="52" priority="11" operator="equal">
      <formula>"Fixing"</formula>
    </cfRule>
    <cfRule type="cellIs" dxfId="51" priority="12" operator="equal">
      <formula>"Working"</formula>
    </cfRule>
    <cfRule type="cellIs" dxfId="50" priority="13" operator="equal">
      <formula>"Not started"</formula>
    </cfRule>
    <cfRule type="cellIs" dxfId="49" priority="14" operator="equal">
      <formula>"Completed"</formula>
    </cfRule>
    <cfRule type="cellIs" dxfId="48" priority="15" operator="equal">
      <formula>"Completed"</formula>
    </cfRule>
  </conditionalFormatting>
  <conditionalFormatting sqref="H6">
    <cfRule type="cellIs" dxfId="47" priority="6" operator="equal">
      <formula>"Fixing"</formula>
    </cfRule>
    <cfRule type="cellIs" dxfId="46" priority="7" operator="equal">
      <formula>"Working"</formula>
    </cfRule>
    <cfRule type="cellIs" dxfId="45" priority="8" operator="equal">
      <formula>"Not started"</formula>
    </cfRule>
    <cfRule type="cellIs" dxfId="44" priority="9" operator="equal">
      <formula>"Completed"</formula>
    </cfRule>
    <cfRule type="cellIs" dxfId="43" priority="10" operator="equal">
      <formula>"Completed"</formula>
    </cfRule>
  </conditionalFormatting>
  <conditionalFormatting sqref="H7">
    <cfRule type="cellIs" dxfId="42" priority="1" operator="equal">
      <formula>"Fixing"</formula>
    </cfRule>
    <cfRule type="cellIs" dxfId="41" priority="2" operator="equal">
      <formula>"Working"</formula>
    </cfRule>
    <cfRule type="cellIs" dxfId="40" priority="3" operator="equal">
      <formula>"Not started"</formula>
    </cfRule>
    <cfRule type="cellIs" dxfId="39" priority="4" operator="equal">
      <formula>"Completed"</formula>
    </cfRule>
    <cfRule type="cellIs" dxfId="38" priority="5" operator="equal">
      <formula>"Completed"</formula>
    </cfRule>
  </conditionalFormatting>
  <hyperlinks>
    <hyperlink ref="A1:D2" location="Planning!A1" display="Summary Planning"/>
    <hyperlink ref="H1:L2" location="Checklist!A1" display="Summary Checklist"/>
  </hyperlinks>
  <pageMargins left="0.7" right="0.7" top="0.75" bottom="0.75" header="0.3" footer="0.3"/>
  <pageSetup paperSize="9" orientation="portrait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20"/>
  <sheetViews>
    <sheetView tabSelected="1" topLeftCell="E1" workbookViewId="0">
      <pane ySplit="2" topLeftCell="A11" activePane="bottomLeft" state="frozen"/>
      <selection pane="bottomLeft" activeCell="L13" sqref="L13"/>
    </sheetView>
  </sheetViews>
  <sheetFormatPr defaultRowHeight="15" x14ac:dyDescent="0.25"/>
  <cols>
    <col min="1" max="3" width="19.42578125" style="36" customWidth="1"/>
    <col min="4" max="4" width="27.140625" style="36" customWidth="1"/>
    <col min="5" max="5" width="19.42578125" style="36" customWidth="1"/>
    <col min="6" max="6" width="23.28515625" style="36" customWidth="1"/>
    <col min="7" max="9" width="19.42578125" style="36" customWidth="1"/>
    <col min="10" max="10" width="12.85546875" style="60" customWidth="1"/>
    <col min="11" max="11" width="13.28515625" style="61" customWidth="1"/>
    <col min="12" max="12" width="19.7109375" style="20" customWidth="1"/>
    <col min="13" max="13" width="9.140625" style="25"/>
    <col min="14" max="16384" width="9.140625" style="28"/>
  </cols>
  <sheetData>
    <row r="1" spans="1:26" ht="30.75" customHeight="1" x14ac:dyDescent="0.25">
      <c r="A1" s="78" t="s">
        <v>13</v>
      </c>
      <c r="B1" s="78"/>
      <c r="C1" s="78"/>
      <c r="D1" s="78"/>
      <c r="E1" s="78"/>
      <c r="F1" s="78"/>
      <c r="G1" s="78"/>
      <c r="H1" s="78"/>
      <c r="I1" s="37"/>
      <c r="J1" s="62"/>
    </row>
    <row r="2" spans="1:26" ht="30.75" customHeight="1" x14ac:dyDescent="0.25">
      <c r="A2" s="29" t="s">
        <v>47</v>
      </c>
      <c r="B2" s="29" t="s">
        <v>48</v>
      </c>
      <c r="C2" s="29" t="s">
        <v>16</v>
      </c>
      <c r="D2" s="29" t="s">
        <v>49</v>
      </c>
      <c r="E2" s="29" t="s">
        <v>1</v>
      </c>
      <c r="F2" s="29" t="s">
        <v>50</v>
      </c>
      <c r="G2" s="29" t="s">
        <v>51</v>
      </c>
      <c r="H2" s="29" t="s">
        <v>52</v>
      </c>
      <c r="I2" s="29" t="s">
        <v>108</v>
      </c>
      <c r="J2" s="63" t="s">
        <v>54</v>
      </c>
      <c r="K2" s="64" t="s">
        <v>90</v>
      </c>
      <c r="L2" s="23" t="s">
        <v>69</v>
      </c>
      <c r="M2" s="24" t="s">
        <v>85</v>
      </c>
    </row>
    <row r="3" spans="1:26" ht="61.5" customHeight="1" x14ac:dyDescent="0.25">
      <c r="A3" s="30"/>
      <c r="B3" s="30"/>
      <c r="C3" s="31" t="s">
        <v>55</v>
      </c>
      <c r="D3" s="30"/>
      <c r="E3" s="31" t="s">
        <v>56</v>
      </c>
      <c r="F3" s="30"/>
      <c r="G3" s="30"/>
      <c r="H3" s="30"/>
      <c r="I3" s="30"/>
      <c r="J3" s="60" t="s">
        <v>53</v>
      </c>
      <c r="K3" s="61" t="s">
        <v>92</v>
      </c>
      <c r="L3" s="32" t="s">
        <v>68</v>
      </c>
      <c r="M3" s="25" t="s">
        <v>99</v>
      </c>
    </row>
    <row r="4" spans="1:26" ht="61.5" customHeight="1" x14ac:dyDescent="0.25">
      <c r="C4" s="30" t="s">
        <v>88</v>
      </c>
      <c r="J4" s="60" t="s">
        <v>59</v>
      </c>
      <c r="L4" s="32" t="s">
        <v>97</v>
      </c>
      <c r="M4" s="25" t="s">
        <v>86</v>
      </c>
    </row>
    <row r="5" spans="1:26" ht="61.5" customHeight="1" x14ac:dyDescent="0.25">
      <c r="C5" s="30" t="s">
        <v>100</v>
      </c>
      <c r="E5" s="31" t="s">
        <v>102</v>
      </c>
      <c r="F5" s="30" t="s">
        <v>91</v>
      </c>
      <c r="J5" s="60" t="s">
        <v>92</v>
      </c>
      <c r="L5" s="33" t="s">
        <v>98</v>
      </c>
      <c r="M5" s="25" t="s">
        <v>86</v>
      </c>
    </row>
    <row r="6" spans="1:26" ht="61.5" customHeight="1" x14ac:dyDescent="0.25">
      <c r="D6" s="31" t="s">
        <v>112</v>
      </c>
      <c r="J6" s="60" t="s">
        <v>104</v>
      </c>
      <c r="K6" s="61" t="s">
        <v>104</v>
      </c>
      <c r="L6" s="35" t="s">
        <v>107</v>
      </c>
      <c r="M6" s="25" t="s">
        <v>99</v>
      </c>
    </row>
    <row r="7" spans="1:26" ht="61.5" customHeight="1" x14ac:dyDescent="0.25">
      <c r="C7" s="30" t="s">
        <v>110</v>
      </c>
      <c r="D7" s="31" t="s">
        <v>113</v>
      </c>
      <c r="I7" s="31" t="s">
        <v>109</v>
      </c>
      <c r="J7" s="60" t="s">
        <v>114</v>
      </c>
      <c r="L7" s="35" t="s">
        <v>119</v>
      </c>
      <c r="M7" s="25" t="s">
        <v>111</v>
      </c>
    </row>
    <row r="8" spans="1:26" ht="61.5" customHeight="1" x14ac:dyDescent="0.25">
      <c r="C8" s="30" t="s">
        <v>133</v>
      </c>
      <c r="E8" s="30"/>
      <c r="J8" s="60" t="s">
        <v>130</v>
      </c>
      <c r="L8" s="35" t="s">
        <v>135</v>
      </c>
      <c r="M8" s="25" t="s">
        <v>86</v>
      </c>
    </row>
    <row r="9" spans="1:26" ht="61.5" customHeight="1" x14ac:dyDescent="0.25">
      <c r="C9" s="31" t="s">
        <v>142</v>
      </c>
      <c r="E9" s="31" t="s">
        <v>137</v>
      </c>
      <c r="J9" s="60" t="s">
        <v>136</v>
      </c>
      <c r="K9" s="61" t="s">
        <v>136</v>
      </c>
      <c r="L9" s="35" t="s">
        <v>141</v>
      </c>
      <c r="M9" s="25" t="s">
        <v>99</v>
      </c>
    </row>
    <row r="10" spans="1:26" s="57" customFormat="1" ht="61.5" customHeight="1" x14ac:dyDescent="0.25">
      <c r="A10" s="36"/>
      <c r="B10" s="36"/>
      <c r="C10" s="36"/>
      <c r="D10" s="36"/>
      <c r="E10" s="55" t="s">
        <v>152</v>
      </c>
      <c r="F10" s="36"/>
      <c r="G10" s="36"/>
      <c r="H10" s="36"/>
      <c r="I10" s="36"/>
      <c r="J10" s="60">
        <v>42529</v>
      </c>
      <c r="K10" s="61">
        <v>42529</v>
      </c>
      <c r="L10" s="35" t="s">
        <v>146</v>
      </c>
      <c r="M10" s="56" t="s">
        <v>99</v>
      </c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</row>
    <row r="11" spans="1:26" ht="61.5" customHeight="1" x14ac:dyDescent="0.25">
      <c r="E11" s="30" t="s">
        <v>153</v>
      </c>
      <c r="J11" s="60">
        <v>42621</v>
      </c>
      <c r="L11" s="35" t="s">
        <v>156</v>
      </c>
      <c r="M11" s="25" t="s">
        <v>86</v>
      </c>
    </row>
    <row r="12" spans="1:26" ht="61.5" customHeight="1" x14ac:dyDescent="0.25">
      <c r="B12" s="30" t="s">
        <v>172</v>
      </c>
      <c r="C12" s="55" t="s">
        <v>175</v>
      </c>
      <c r="E12" s="55" t="s">
        <v>171</v>
      </c>
      <c r="J12" s="60">
        <v>42651</v>
      </c>
      <c r="L12" s="35" t="s">
        <v>159</v>
      </c>
      <c r="M12" s="25" t="s">
        <v>86</v>
      </c>
    </row>
    <row r="13" spans="1:26" ht="77.25" customHeight="1" x14ac:dyDescent="0.25">
      <c r="C13" s="30" t="s">
        <v>182</v>
      </c>
      <c r="J13" s="60">
        <v>42712</v>
      </c>
      <c r="L13" s="35" t="s">
        <v>179</v>
      </c>
      <c r="M13" s="25" t="s">
        <v>86</v>
      </c>
    </row>
    <row r="14" spans="1:26" ht="77.25" customHeight="1" x14ac:dyDescent="0.25"/>
    <row r="15" spans="1:26" ht="77.25" customHeight="1" x14ac:dyDescent="0.25"/>
    <row r="16" spans="1:26" ht="77.25" customHeight="1" x14ac:dyDescent="0.25"/>
    <row r="17" ht="77.25" customHeight="1" x14ac:dyDescent="0.25"/>
    <row r="18" ht="77.25" customHeight="1" x14ac:dyDescent="0.25"/>
    <row r="19" ht="77.25" customHeight="1" x14ac:dyDescent="0.25"/>
    <row r="20" ht="77.25" customHeight="1" x14ac:dyDescent="0.25"/>
  </sheetData>
  <mergeCells count="1">
    <mergeCell ref="A1:H1"/>
  </mergeCells>
  <conditionalFormatting sqref="M1:M9 M11:M1048576">
    <cfRule type="cellIs" dxfId="37" priority="5" operator="equal">
      <formula>"Some"</formula>
    </cfRule>
    <cfRule type="cellIs" dxfId="36" priority="6" operator="equal">
      <formula>"Some"</formula>
    </cfRule>
    <cfRule type="cellIs" dxfId="35" priority="7" operator="equal">
      <formula>"No"</formula>
    </cfRule>
    <cfRule type="cellIs" dxfId="34" priority="8" operator="equal">
      <formula>"Yes"</formula>
    </cfRule>
  </conditionalFormatting>
  <conditionalFormatting sqref="M10">
    <cfRule type="cellIs" dxfId="33" priority="1" operator="equal">
      <formula>"Some"</formula>
    </cfRule>
  </conditionalFormatting>
  <conditionalFormatting sqref="M10">
    <cfRule type="cellIs" dxfId="32" priority="2" operator="equal">
      <formula>"Some"</formula>
    </cfRule>
  </conditionalFormatting>
  <conditionalFormatting sqref="M10">
    <cfRule type="cellIs" dxfId="31" priority="3" operator="equal">
      <formula>"No"</formula>
    </cfRule>
  </conditionalFormatting>
  <conditionalFormatting sqref="M10">
    <cfRule type="cellIs" dxfId="30" priority="4" operator="equal">
      <formula>"Yes"</formula>
    </cfRule>
  </conditionalFormatting>
  <dataValidations count="3">
    <dataValidation type="list" allowBlank="1" showInputMessage="1" showErrorMessage="1" sqref="M1 M3:M9 M11:M1048576">
      <formula1>"Yes,No,Some"</formula1>
    </dataValidation>
    <dataValidation type="custom" showInputMessage="1" showErrorMessage="1" sqref="M2">
      <formula1>"Mark"</formula1>
    </dataValidation>
    <dataValidation type="list" allowBlank="1" showErrorMessage="1" sqref="M10">
      <formula1>"Yes,No,Some"</formula1>
    </dataValidation>
  </dataValidations>
  <hyperlinks>
    <hyperlink ref="L3" location="Checklist!A3" display="Checklist!A3"/>
    <hyperlink ref="L4" location="Checklist!A12" display="Checklist!A12"/>
    <hyperlink ref="L5" location="Checklist!A14" display="Checklist!A14"/>
    <hyperlink ref="L6" location="Checklist!A17" display="Checklist!A17"/>
    <hyperlink ref="L7" location="Checklist!A18" display="Checklist!A18"/>
    <hyperlink ref="L8" location="Checklist!A21" display="Checklist!A21"/>
    <hyperlink ref="L9" location="Checklist!A23" display="Checklist!A23"/>
    <hyperlink ref="L10" location="Checklist!A26" display="Checklist!A26"/>
    <hyperlink ref="L11" location="Checklist!A30" display="Checklist!A30"/>
    <hyperlink ref="L12" location="Checklist!A32" display="Checklist!A32"/>
    <hyperlink ref="L13" location="Checklist!A46" display="Checklist!A46"/>
  </hyperlinks>
  <pageMargins left="0.7" right="0.7" top="0.75" bottom="0.75" header="0.3" footer="0.3"/>
  <pageSetup paperSize="9" orientation="portrait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E48"/>
  <sheetViews>
    <sheetView workbookViewId="0">
      <pane xSplit="1" ySplit="2" topLeftCell="B33" activePane="bottomRight" state="frozen"/>
      <selection pane="topRight" activeCell="B1" sqref="B1"/>
      <selection pane="bottomLeft" activeCell="A3" sqref="A3"/>
      <selection pane="bottomRight" activeCell="F46" sqref="F46"/>
    </sheetView>
  </sheetViews>
  <sheetFormatPr defaultRowHeight="15" x14ac:dyDescent="0.2"/>
  <cols>
    <col min="1" max="1" width="17.42578125" style="66" customWidth="1"/>
    <col min="2" max="2" width="17.42578125" style="68" customWidth="1"/>
    <col min="3" max="3" width="40.5703125" style="13" customWidth="1"/>
    <col min="4" max="4" width="17.42578125" style="27" customWidth="1"/>
    <col min="5" max="5" width="17.42578125" style="21" customWidth="1"/>
    <col min="6" max="12" width="17.42578125" style="14" customWidth="1"/>
    <col min="13" max="16384" width="9.140625" style="14"/>
  </cols>
  <sheetData>
    <row r="2" spans="1:5" x14ac:dyDescent="0.2">
      <c r="A2" s="65" t="s">
        <v>87</v>
      </c>
      <c r="B2" s="65" t="s">
        <v>58</v>
      </c>
      <c r="C2" s="15" t="s">
        <v>57</v>
      </c>
      <c r="D2" s="26" t="s">
        <v>60</v>
      </c>
      <c r="E2" s="19" t="s">
        <v>70</v>
      </c>
    </row>
    <row r="3" spans="1:5" ht="24" x14ac:dyDescent="0.2">
      <c r="A3" s="80" t="s">
        <v>53</v>
      </c>
      <c r="B3" s="84" t="s">
        <v>59</v>
      </c>
      <c r="C3" s="13" t="s">
        <v>75</v>
      </c>
      <c r="D3" s="27" t="s">
        <v>61</v>
      </c>
      <c r="E3" s="79" t="s">
        <v>71</v>
      </c>
    </row>
    <row r="4" spans="1:5" ht="12" customHeight="1" x14ac:dyDescent="0.2">
      <c r="A4" s="80"/>
      <c r="B4" s="84"/>
      <c r="C4" s="13" t="s">
        <v>62</v>
      </c>
      <c r="D4" s="27" t="s">
        <v>61</v>
      </c>
      <c r="E4" s="79"/>
    </row>
    <row r="5" spans="1:5" ht="12" customHeight="1" x14ac:dyDescent="0.2">
      <c r="A5" s="80"/>
      <c r="B5" s="84"/>
      <c r="C5" s="13" t="s">
        <v>63</v>
      </c>
      <c r="D5" s="27" t="s">
        <v>61</v>
      </c>
      <c r="E5" s="79"/>
    </row>
    <row r="6" spans="1:5" ht="12" customHeight="1" x14ac:dyDescent="0.2">
      <c r="A6" s="80"/>
      <c r="B6" s="84"/>
      <c r="C6" s="13" t="s">
        <v>64</v>
      </c>
      <c r="D6" s="27" t="s">
        <v>61</v>
      </c>
      <c r="E6" s="79"/>
    </row>
    <row r="7" spans="1:5" ht="12" customHeight="1" x14ac:dyDescent="0.2">
      <c r="A7" s="80"/>
      <c r="B7" s="84"/>
      <c r="C7" s="13" t="s">
        <v>72</v>
      </c>
      <c r="D7" s="27" t="s">
        <v>61</v>
      </c>
      <c r="E7" s="79"/>
    </row>
    <row r="8" spans="1:5" ht="12" customHeight="1" x14ac:dyDescent="0.2">
      <c r="A8" s="80"/>
      <c r="B8" s="84"/>
      <c r="C8" s="13" t="s">
        <v>67</v>
      </c>
      <c r="D8" s="27" t="s">
        <v>61</v>
      </c>
      <c r="E8" s="79"/>
    </row>
    <row r="9" spans="1:5" ht="12" customHeight="1" x14ac:dyDescent="0.2">
      <c r="A9" s="80"/>
      <c r="B9" s="84"/>
      <c r="C9" s="13" t="s">
        <v>66</v>
      </c>
      <c r="D9" s="27" t="s">
        <v>61</v>
      </c>
      <c r="E9" s="79"/>
    </row>
    <row r="10" spans="1:5" ht="15" customHeight="1" x14ac:dyDescent="0.2">
      <c r="A10" s="80"/>
      <c r="B10" s="84"/>
      <c r="C10" s="13" t="s">
        <v>73</v>
      </c>
      <c r="D10" s="27" t="s">
        <v>61</v>
      </c>
      <c r="E10" s="79"/>
    </row>
    <row r="11" spans="1:5" x14ac:dyDescent="0.2">
      <c r="A11" s="80"/>
      <c r="B11" s="67" t="s">
        <v>92</v>
      </c>
      <c r="C11" s="13" t="s">
        <v>74</v>
      </c>
      <c r="D11" s="27" t="s">
        <v>61</v>
      </c>
      <c r="E11" s="79"/>
    </row>
    <row r="12" spans="1:5" x14ac:dyDescent="0.2">
      <c r="A12" s="80" t="s">
        <v>59</v>
      </c>
      <c r="C12" s="13" t="s">
        <v>93</v>
      </c>
      <c r="D12" s="27" t="s">
        <v>65</v>
      </c>
      <c r="E12" s="79" t="s">
        <v>89</v>
      </c>
    </row>
    <row r="13" spans="1:5" ht="24" x14ac:dyDescent="0.2">
      <c r="A13" s="80"/>
      <c r="C13" s="13" t="s">
        <v>94</v>
      </c>
      <c r="D13" s="27" t="s">
        <v>65</v>
      </c>
      <c r="E13" s="79"/>
    </row>
    <row r="14" spans="1:5" ht="24" x14ac:dyDescent="0.2">
      <c r="A14" s="80" t="s">
        <v>92</v>
      </c>
      <c r="B14" s="68">
        <v>42621</v>
      </c>
      <c r="C14" s="13" t="s">
        <v>129</v>
      </c>
      <c r="D14" s="27" t="s">
        <v>61</v>
      </c>
      <c r="E14" s="79" t="s">
        <v>95</v>
      </c>
    </row>
    <row r="15" spans="1:5" ht="24" x14ac:dyDescent="0.2">
      <c r="A15" s="80"/>
      <c r="C15" s="13" t="s">
        <v>96</v>
      </c>
      <c r="D15" s="27" t="s">
        <v>65</v>
      </c>
      <c r="E15" s="79"/>
    </row>
    <row r="16" spans="1:5" x14ac:dyDescent="0.2">
      <c r="A16" s="80"/>
      <c r="C16" s="13" t="s">
        <v>101</v>
      </c>
      <c r="D16" s="27" t="s">
        <v>65</v>
      </c>
      <c r="E16" s="79"/>
    </row>
    <row r="17" spans="1:5" ht="24" x14ac:dyDescent="0.2">
      <c r="A17" s="66" t="s">
        <v>104</v>
      </c>
      <c r="B17" s="68" t="s">
        <v>104</v>
      </c>
      <c r="C17" s="13" t="s">
        <v>105</v>
      </c>
      <c r="D17" s="27" t="s">
        <v>61</v>
      </c>
      <c r="E17" s="34" t="s">
        <v>106</v>
      </c>
    </row>
    <row r="18" spans="1:5" ht="24" x14ac:dyDescent="0.2">
      <c r="A18" s="83" t="s">
        <v>114</v>
      </c>
      <c r="C18" s="13" t="s">
        <v>115</v>
      </c>
      <c r="D18" s="27" t="s">
        <v>65</v>
      </c>
      <c r="E18" s="81" t="s">
        <v>118</v>
      </c>
    </row>
    <row r="19" spans="1:5" x14ac:dyDescent="0.2">
      <c r="A19" s="83"/>
      <c r="B19" s="68" t="s">
        <v>114</v>
      </c>
      <c r="C19" s="13" t="s">
        <v>116</v>
      </c>
      <c r="D19" s="27" t="s">
        <v>61</v>
      </c>
      <c r="E19" s="81"/>
    </row>
    <row r="20" spans="1:5" x14ac:dyDescent="0.2">
      <c r="A20" s="83"/>
      <c r="B20" s="68" t="s">
        <v>120</v>
      </c>
      <c r="C20" s="13" t="s">
        <v>117</v>
      </c>
      <c r="D20" s="27" t="s">
        <v>61</v>
      </c>
      <c r="E20" s="81"/>
    </row>
    <row r="21" spans="1:5" x14ac:dyDescent="0.2">
      <c r="A21" s="82" t="s">
        <v>130</v>
      </c>
      <c r="C21" s="13" t="s">
        <v>131</v>
      </c>
      <c r="D21" s="27" t="s">
        <v>65</v>
      </c>
      <c r="E21" s="81" t="s">
        <v>134</v>
      </c>
    </row>
    <row r="22" spans="1:5" x14ac:dyDescent="0.2">
      <c r="A22" s="82"/>
      <c r="C22" s="13" t="s">
        <v>132</v>
      </c>
      <c r="D22" s="27" t="s">
        <v>65</v>
      </c>
      <c r="E22" s="81"/>
    </row>
    <row r="23" spans="1:5" ht="15" customHeight="1" x14ac:dyDescent="0.2">
      <c r="A23" s="82" t="s">
        <v>136</v>
      </c>
      <c r="B23" s="90" t="s">
        <v>136</v>
      </c>
      <c r="C23" s="13" t="s">
        <v>138</v>
      </c>
      <c r="D23" s="27" t="s">
        <v>61</v>
      </c>
      <c r="E23" s="81" t="s">
        <v>140</v>
      </c>
    </row>
    <row r="24" spans="1:5" ht="15" customHeight="1" x14ac:dyDescent="0.2">
      <c r="A24" s="82"/>
      <c r="B24" s="90"/>
      <c r="C24" s="13" t="s">
        <v>139</v>
      </c>
      <c r="D24" s="27" t="s">
        <v>61</v>
      </c>
      <c r="E24" s="81"/>
    </row>
    <row r="25" spans="1:5" ht="15" customHeight="1" x14ac:dyDescent="0.2">
      <c r="A25" s="82"/>
      <c r="B25" s="90"/>
      <c r="C25" s="13" t="s">
        <v>143</v>
      </c>
      <c r="D25" s="27" t="s">
        <v>61</v>
      </c>
      <c r="E25" s="81"/>
    </row>
    <row r="26" spans="1:5" ht="12" customHeight="1" x14ac:dyDescent="0.2">
      <c r="A26" s="86">
        <v>42588</v>
      </c>
      <c r="B26" s="91">
        <v>42588</v>
      </c>
      <c r="C26" s="58" t="s">
        <v>147</v>
      </c>
      <c r="D26" s="59" t="s">
        <v>61</v>
      </c>
      <c r="E26" s="88" t="s">
        <v>148</v>
      </c>
    </row>
    <row r="27" spans="1:5" ht="12" customHeight="1" x14ac:dyDescent="0.2">
      <c r="A27" s="87"/>
      <c r="B27" s="91"/>
      <c r="C27" s="58" t="s">
        <v>149</v>
      </c>
      <c r="D27" s="59" t="s">
        <v>61</v>
      </c>
      <c r="E27" s="89"/>
    </row>
    <row r="28" spans="1:5" ht="15" customHeight="1" x14ac:dyDescent="0.2">
      <c r="A28" s="87"/>
      <c r="B28" s="91"/>
      <c r="C28" s="58" t="s">
        <v>150</v>
      </c>
      <c r="D28" s="59" t="s">
        <v>61</v>
      </c>
      <c r="E28" s="89"/>
    </row>
    <row r="29" spans="1:5" ht="15" customHeight="1" x14ac:dyDescent="0.2">
      <c r="A29" s="87"/>
      <c r="B29" s="91"/>
      <c r="C29" s="58" t="s">
        <v>151</v>
      </c>
      <c r="D29" s="59" t="s">
        <v>61</v>
      </c>
      <c r="E29" s="89"/>
    </row>
    <row r="30" spans="1:5" ht="24" x14ac:dyDescent="0.2">
      <c r="A30" s="82">
        <v>42621</v>
      </c>
      <c r="C30" s="13" t="s">
        <v>154</v>
      </c>
      <c r="D30" s="27" t="s">
        <v>65</v>
      </c>
      <c r="E30" s="81" t="s">
        <v>155</v>
      </c>
    </row>
    <row r="31" spans="1:5" ht="24" x14ac:dyDescent="0.2">
      <c r="A31" s="82"/>
      <c r="C31" s="13" t="s">
        <v>157</v>
      </c>
      <c r="D31" s="27" t="s">
        <v>65</v>
      </c>
      <c r="E31" s="81"/>
    </row>
    <row r="32" spans="1:5" ht="15" customHeight="1" x14ac:dyDescent="0.2">
      <c r="A32" s="82">
        <v>42651</v>
      </c>
      <c r="B32" s="90">
        <v>42651</v>
      </c>
      <c r="C32" s="13" t="s">
        <v>160</v>
      </c>
      <c r="D32" s="59" t="s">
        <v>61</v>
      </c>
      <c r="E32" s="85" t="s">
        <v>158</v>
      </c>
    </row>
    <row r="33" spans="1:5" ht="15" customHeight="1" x14ac:dyDescent="0.2">
      <c r="A33" s="82"/>
      <c r="B33" s="90"/>
      <c r="C33" s="13" t="s">
        <v>161</v>
      </c>
      <c r="D33" s="59" t="s">
        <v>61</v>
      </c>
      <c r="E33" s="85"/>
    </row>
    <row r="34" spans="1:5" ht="15" customHeight="1" x14ac:dyDescent="0.2">
      <c r="A34" s="82"/>
      <c r="B34" s="90"/>
      <c r="C34" s="13" t="s">
        <v>162</v>
      </c>
      <c r="D34" s="59" t="s">
        <v>61</v>
      </c>
      <c r="E34" s="85"/>
    </row>
    <row r="35" spans="1:5" ht="15" customHeight="1" x14ac:dyDescent="0.2">
      <c r="A35" s="82"/>
      <c r="B35" s="90"/>
      <c r="C35" s="13" t="s">
        <v>163</v>
      </c>
      <c r="D35" s="59" t="s">
        <v>61</v>
      </c>
      <c r="E35" s="85"/>
    </row>
    <row r="36" spans="1:5" ht="15" customHeight="1" x14ac:dyDescent="0.2">
      <c r="A36" s="82"/>
      <c r="B36" s="90"/>
      <c r="C36" s="13" t="s">
        <v>164</v>
      </c>
      <c r="D36" s="59" t="s">
        <v>61</v>
      </c>
      <c r="E36" s="85"/>
    </row>
    <row r="37" spans="1:5" ht="15" customHeight="1" x14ac:dyDescent="0.2">
      <c r="A37" s="82"/>
      <c r="B37" s="90"/>
      <c r="C37" s="13" t="s">
        <v>165</v>
      </c>
      <c r="D37" s="27" t="s">
        <v>61</v>
      </c>
      <c r="E37" s="85"/>
    </row>
    <row r="38" spans="1:5" ht="15" customHeight="1" x14ac:dyDescent="0.2">
      <c r="A38" s="82"/>
      <c r="B38" s="90"/>
      <c r="C38" s="13" t="s">
        <v>166</v>
      </c>
      <c r="D38" s="27" t="s">
        <v>61</v>
      </c>
      <c r="E38" s="85"/>
    </row>
    <row r="39" spans="1:5" x14ac:dyDescent="0.2">
      <c r="A39" s="82"/>
      <c r="C39" s="13" t="s">
        <v>170</v>
      </c>
      <c r="D39" s="27" t="s">
        <v>65</v>
      </c>
      <c r="E39" s="85"/>
    </row>
    <row r="40" spans="1:5" x14ac:dyDescent="0.2">
      <c r="A40" s="82"/>
      <c r="C40" s="13" t="s">
        <v>169</v>
      </c>
      <c r="D40" s="27" t="s">
        <v>65</v>
      </c>
      <c r="E40" s="85"/>
    </row>
    <row r="41" spans="1:5" x14ac:dyDescent="0.2">
      <c r="A41" s="82"/>
      <c r="C41" s="13" t="s">
        <v>167</v>
      </c>
      <c r="D41" s="27" t="s">
        <v>65</v>
      </c>
      <c r="E41" s="85"/>
    </row>
    <row r="42" spans="1:5" x14ac:dyDescent="0.2">
      <c r="A42" s="82"/>
      <c r="C42" s="13" t="s">
        <v>168</v>
      </c>
      <c r="D42" s="27" t="s">
        <v>65</v>
      </c>
      <c r="E42" s="85"/>
    </row>
    <row r="43" spans="1:5" x14ac:dyDescent="0.2">
      <c r="A43" s="82"/>
      <c r="C43" s="13" t="s">
        <v>173</v>
      </c>
      <c r="D43" s="27" t="s">
        <v>65</v>
      </c>
      <c r="E43" s="85"/>
    </row>
    <row r="44" spans="1:5" x14ac:dyDescent="0.2">
      <c r="A44" s="82"/>
      <c r="C44" s="13" t="s">
        <v>174</v>
      </c>
      <c r="D44" s="27" t="s">
        <v>65</v>
      </c>
      <c r="E44" s="85"/>
    </row>
    <row r="45" spans="1:5" x14ac:dyDescent="0.2">
      <c r="A45" s="82"/>
      <c r="B45" s="68">
        <v>42712</v>
      </c>
      <c r="C45" s="13" t="s">
        <v>176</v>
      </c>
      <c r="D45" s="27" t="s">
        <v>61</v>
      </c>
      <c r="E45" s="85"/>
    </row>
    <row r="46" spans="1:5" x14ac:dyDescent="0.2">
      <c r="A46" s="82">
        <v>42712</v>
      </c>
      <c r="C46" s="13" t="s">
        <v>177</v>
      </c>
      <c r="D46" s="27" t="s">
        <v>65</v>
      </c>
      <c r="E46" s="81" t="s">
        <v>178</v>
      </c>
    </row>
    <row r="47" spans="1:5" x14ac:dyDescent="0.2">
      <c r="A47" s="82"/>
      <c r="C47" s="13" t="s">
        <v>180</v>
      </c>
      <c r="D47" s="27" t="s">
        <v>65</v>
      </c>
      <c r="E47" s="81"/>
    </row>
    <row r="48" spans="1:5" ht="24" x14ac:dyDescent="0.2">
      <c r="A48" s="82"/>
      <c r="C48" s="13" t="s">
        <v>181</v>
      </c>
      <c r="D48" s="27" t="s">
        <v>65</v>
      </c>
      <c r="E48" s="81"/>
    </row>
  </sheetData>
  <mergeCells count="24">
    <mergeCell ref="A46:A48"/>
    <mergeCell ref="E46:E48"/>
    <mergeCell ref="E32:E45"/>
    <mergeCell ref="A32:A45"/>
    <mergeCell ref="E18:E20"/>
    <mergeCell ref="A26:A29"/>
    <mergeCell ref="E26:E29"/>
    <mergeCell ref="A23:A25"/>
    <mergeCell ref="E23:E25"/>
    <mergeCell ref="B23:B25"/>
    <mergeCell ref="B26:B29"/>
    <mergeCell ref="B32:B38"/>
    <mergeCell ref="E3:E11"/>
    <mergeCell ref="E12:E13"/>
    <mergeCell ref="B3:B10"/>
    <mergeCell ref="A3:A11"/>
    <mergeCell ref="A12:A13"/>
    <mergeCell ref="E14:E16"/>
    <mergeCell ref="A14:A16"/>
    <mergeCell ref="E30:E31"/>
    <mergeCell ref="A30:A31"/>
    <mergeCell ref="A21:A22"/>
    <mergeCell ref="E21:E22"/>
    <mergeCell ref="A18:A20"/>
  </mergeCells>
  <conditionalFormatting sqref="D1:D25 D30:D31 D37:D1048576">
    <cfRule type="cellIs" dxfId="29" priority="21" operator="equal">
      <formula>"Fixing"</formula>
    </cfRule>
    <cfRule type="cellIs" dxfId="28" priority="22" operator="equal">
      <formula>"Working"</formula>
    </cfRule>
    <cfRule type="cellIs" dxfId="27" priority="23" operator="equal">
      <formula>"Not started"</formula>
    </cfRule>
    <cfRule type="cellIs" dxfId="26" priority="24" operator="equal">
      <formula>"Completed"</formula>
    </cfRule>
    <cfRule type="cellIs" dxfId="25" priority="25" operator="equal">
      <formula>"Completed"</formula>
    </cfRule>
  </conditionalFormatting>
  <conditionalFormatting sqref="D26:D29">
    <cfRule type="cellIs" dxfId="24" priority="16" operator="equal">
      <formula>"Fixing"</formula>
    </cfRule>
  </conditionalFormatting>
  <conditionalFormatting sqref="D26:D29">
    <cfRule type="cellIs" dxfId="23" priority="17" operator="equal">
      <formula>"Working"</formula>
    </cfRule>
  </conditionalFormatting>
  <conditionalFormatting sqref="D26:D29">
    <cfRule type="cellIs" dxfId="22" priority="18" operator="equal">
      <formula>"Not started"</formula>
    </cfRule>
  </conditionalFormatting>
  <conditionalFormatting sqref="D26:D29">
    <cfRule type="cellIs" dxfId="21" priority="19" operator="equal">
      <formula>"Completed"</formula>
    </cfRule>
  </conditionalFormatting>
  <conditionalFormatting sqref="D26:D29">
    <cfRule type="cellIs" dxfId="20" priority="20" operator="equal">
      <formula>"Completed"</formula>
    </cfRule>
  </conditionalFormatting>
  <conditionalFormatting sqref="D32:D34">
    <cfRule type="cellIs" dxfId="19" priority="11" operator="equal">
      <formula>"Fixing"</formula>
    </cfRule>
  </conditionalFormatting>
  <conditionalFormatting sqref="D32:D34">
    <cfRule type="cellIs" dxfId="18" priority="12" operator="equal">
      <formula>"Working"</formula>
    </cfRule>
  </conditionalFormatting>
  <conditionalFormatting sqref="D32:D34">
    <cfRule type="cellIs" dxfId="17" priority="13" operator="equal">
      <formula>"Not started"</formula>
    </cfRule>
  </conditionalFormatting>
  <conditionalFormatting sqref="D32:D34">
    <cfRule type="cellIs" dxfId="16" priority="14" operator="equal">
      <formula>"Completed"</formula>
    </cfRule>
  </conditionalFormatting>
  <conditionalFormatting sqref="D32:D34">
    <cfRule type="cellIs" dxfId="15" priority="15" operator="equal">
      <formula>"Completed"</formula>
    </cfRule>
  </conditionalFormatting>
  <conditionalFormatting sqref="D35">
    <cfRule type="cellIs" dxfId="14" priority="6" operator="equal">
      <formula>"Fixing"</formula>
    </cfRule>
  </conditionalFormatting>
  <conditionalFormatting sqref="D35">
    <cfRule type="cellIs" dxfId="13" priority="7" operator="equal">
      <formula>"Working"</formula>
    </cfRule>
  </conditionalFormatting>
  <conditionalFormatting sqref="D35">
    <cfRule type="cellIs" dxfId="12" priority="8" operator="equal">
      <formula>"Not started"</formula>
    </cfRule>
  </conditionalFormatting>
  <conditionalFormatting sqref="D35">
    <cfRule type="cellIs" dxfId="11" priority="9" operator="equal">
      <formula>"Completed"</formula>
    </cfRule>
  </conditionalFormatting>
  <conditionalFormatting sqref="D35">
    <cfRule type="cellIs" dxfId="10" priority="10" operator="equal">
      <formula>"Completed"</formula>
    </cfRule>
  </conditionalFormatting>
  <conditionalFormatting sqref="D36">
    <cfRule type="cellIs" dxfId="9" priority="1" operator="equal">
      <formula>"Fixing"</formula>
    </cfRule>
  </conditionalFormatting>
  <conditionalFormatting sqref="D36">
    <cfRule type="cellIs" dxfId="8" priority="2" operator="equal">
      <formula>"Working"</formula>
    </cfRule>
  </conditionalFormatting>
  <conditionalFormatting sqref="D36">
    <cfRule type="cellIs" dxfId="7" priority="3" operator="equal">
      <formula>"Not started"</formula>
    </cfRule>
  </conditionalFormatting>
  <conditionalFormatting sqref="D36">
    <cfRule type="cellIs" dxfId="6" priority="4" operator="equal">
      <formula>"Completed"</formula>
    </cfRule>
  </conditionalFormatting>
  <conditionalFormatting sqref="D36">
    <cfRule type="cellIs" dxfId="5" priority="5" operator="equal">
      <formula>"Completed"</formula>
    </cfRule>
  </conditionalFormatting>
  <dataValidations count="3">
    <dataValidation type="list" allowBlank="1" showInputMessage="1" showErrorMessage="1" sqref="D1 D3:D25 D30:D31 D37:D1048576">
      <formula1>"Completed, Not Started, Working, Fixing"</formula1>
    </dataValidation>
    <dataValidation type="custom" showInputMessage="1" showErrorMessage="1" sqref="D2">
      <formula1>"Status"</formula1>
    </dataValidation>
    <dataValidation type="list" allowBlank="1" showErrorMessage="1" sqref="D26:D29 D32:D36">
      <formula1>"Completed,Not Started,Working,Fixing"</formula1>
    </dataValidation>
  </dataValidations>
  <hyperlinks>
    <hyperlink ref="E3" location="Planning!I3" display="Planning!I3"/>
    <hyperlink ref="E12" location="Planning!I4" display="Planning!I4"/>
    <hyperlink ref="E14" location="Planning!I5" display="Planning!I5"/>
    <hyperlink ref="E17" location="Planning!I6" display="Planning!I6"/>
    <hyperlink ref="E18" location="Planning!J7" display="Planning!J7"/>
    <hyperlink ref="E21" location="Planning!J8" display="Planning!J8"/>
    <hyperlink ref="E23" location="Planning!J9" display="Planning!J9"/>
    <hyperlink ref="E26:E29" location="Planning!J10" display="Planning!J10"/>
    <hyperlink ref="E30" location="Planning!J11" display="Planning!J11"/>
    <hyperlink ref="E32" location="Planning!J12" display="Planning!J12"/>
    <hyperlink ref="E46" location="Planning!J13" display="Planning!J13"/>
  </hyperlinks>
  <pageMargins left="0.7" right="0.7" top="0.75" bottom="0.75" header="0.3" footer="0.3"/>
  <pageSetup paperSize="9"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Information</vt:lpstr>
      <vt:lpstr>Models</vt:lpstr>
      <vt:lpstr>Summary Plan</vt:lpstr>
      <vt:lpstr>Planning</vt:lpstr>
      <vt:lpstr>Checklist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2016-08-12T01:24:57Z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425ef3e3-104c-4bbd-a7d7-7c157f3086f0</vt:lpwstr>
  </property>
</Properties>
</file>