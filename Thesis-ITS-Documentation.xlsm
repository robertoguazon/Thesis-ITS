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3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<sst xmlns="http://schemas.openxmlformats.org/spreadsheetml/2006/main" count="443" uniqueCount="250">
  <si>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</si>
  <si>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</si>
  <si>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</si>
  <si>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</si>
  <si>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</si>
  <si>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</si>
  <si>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</si>
  <si>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</si>
  <si>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</si>
  <si>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</si>
  <si>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</si>
  <si>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</si>
  <si>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</si>
  <si>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</si>
  <si>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</si>
  <si>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</si>
  <si>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</si>
  <si>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</si>
  <si>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</si>
  <si>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</si>
  <si>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</si>
  <si>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</si>
  <si>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</si>
  <si>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</si>
  <si>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</si>
  <si>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</si>
  <si>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</si>
  <si>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</si>
  <si>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</si>
  <si>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</si>
  <si>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</si>
  <si>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</si>
  <si>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</si>
  <si>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</si>
  <si>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</si>
  <si>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</si>
  <si>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</si>
  <si>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</si>
  <si>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</si>
  <si>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</si>
  <si>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</si>
  <si>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</si>
  <si>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</si>
  <si>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</si>
  <si>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</si>
  <si>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</si>
  <si>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</si>
  <si>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</si>
  <si>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</si>
  <si>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</si>
  <si>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</si>
  <si>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</si>
  <si>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</si>
  <si>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</si>
  <si>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</si>
  <si>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</si>
  <si>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</si>
  <si>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</si>
  <si>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</si>
  <si>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</si>
  <si>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</si>
  <si>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</si>
  <si>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</si>
  <si>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</si>
  <si>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</si>
  <si>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</si>
  <si>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</si>
  <si>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</si>
  <si>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</si>
  <si>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</si>
  <si>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</si>
  <si>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</si>
  <si>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</si>
  <si>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</si>
  <si>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</si>
  <si>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</si>
  <si>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</si>
  <si>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</si>
  <si>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</si>
  <si>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</si>
  <si>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</si>
  <si>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</si>
  <si>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</si>
  <si>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</si>
  <si>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</si>
  <si>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</si>
  <si>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</si>
  <si>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</si>
  <si>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</si>
  <si>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</si>
  <si>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</si>
  <si>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</si>
  <si>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</si>
  <si>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</si>
  <si>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</si>
  <si>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</si>
  <si>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</si>
  <si>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</si>
  <si>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</si>
  <si>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</si>
  <si>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</si>
  <si>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</si>
  <si>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</si>
  <si>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</si>
  <si>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</si>
  <si>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</si>
  <si>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</si>
  <si>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</si>
  <si>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</si>
  <si>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</si>
  <si>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</si>
  <si>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</si>
  <si>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</si>
  <si>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</si>
  <si>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</si>
  <si>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</si>
  <si>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</si>
  <si>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</si>
  <si>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</si>
  <si>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</si>
  <si>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</si>
  <si>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</si>
  <si>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</si>
  <si>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</si>
  <si>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</si>
  <si>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</si>
  <si>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</si>
  <si>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</si>
  <si>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</si>
  <si>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</si>
  <si>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</si>
  <si>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</si>
  <si>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</si>
  <si>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</si>
  <si>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</si>
  <si>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</si>
  <si>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</si>
  <si>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</si>
  <si>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</si>
  <si>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</si>
  <si>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</si>
  <si>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</si>
  <si>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</si>
  <si>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</si>
  <si>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</si>
  <si>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</si>
  <si>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</si>
  <si>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</si>
  <si>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</si>
  <si>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</si>
  <si>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</si>
  <si>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</si>
  <si>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</si>
  <si>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</si>
  <si>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</si>
  <si>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</si>
  <si>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</si>
  <si>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</si>
  <si>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</si>
  <si>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</si>
  <si>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</si>
  <si>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</si>
  <si>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</si>
  <si>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</si>
  <si>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</si>
  <si>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</si>
  <si>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</si>
  <si>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</si>
  <si>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</si>
  <si>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</si>
  <si>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</si>
  <si>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</si>
  <si>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</si>
  <si>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</si>
  <si>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</si>
  <si>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</si>
  <si>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</si>
  <si>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</si>
  <si>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</si>
  <si>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</si>
  <si>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</si>
  <si>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</si>
  <si>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</si>
  <si>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</si>
  <si>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</si>
  <si>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</si>
  <si>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</si>
  <si>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</si>
  <si>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</si>
  <si>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</si>
  <si>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</si>
  <si>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</si>
  <si>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</si>
  <si>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</si>
  <si>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</si>
  <si>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</si>
  <si>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</si>
  <si>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</si>
  <si>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</si>
  <si>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</si>
  <si>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</si>
  <si>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</si>
  <si>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</si>
  <si>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</si>
  <si>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</si>
  <si>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</si>
  <si>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</si>
  <si>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</si>
  <si>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</si>
  <si>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</si>
  <si>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</si>
  <si>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</si>
  <si>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</si>
  <si>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</si>
  <si>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</si>
  <si>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</si>
  <si>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</si>
  <si>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</si>
  <si>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</si>
  <si>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</si>
  <si>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</si>
  <si>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</si>
  <si>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</si>
  <si>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</si>
  <si>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</si>
  <si>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</si>
  <si>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</si>
  <si>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</si>
  <si>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</si>
  <si>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</si>
  <si>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</si>
  <si>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</si>
  <si>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</si>
  <si>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</si>
  <si>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</si>
  <si>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</si>
  <si>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</si>
  <si>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</si>
  <si>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</si>
  <si>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</si>
  <si>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</si>
  <si>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</si>
  <si>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* IMPORTANT - randomize quizzes before displaying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</si>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</sst>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0.41176470588235292</c:v>
                </c:pt>
                <c:pt idx="1">
                  <c:v>0.11764705882352941</c:v>
                </c:pt>
                <c:pt idx="2">
                  <c:v>0.47058823529411764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0.7857142857142857</c:v>
                </c:pt>
                <c:pt idx="1">
                  <c:v>0.14285714285714285</c:v>
                </c:pt>
                <c:pt idx="2">
                  <c:v>5.9523809523809521E-2</c:v>
                </c:pt>
                <c:pt idx="3">
                  <c:v>1.1904761904761904E-2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8" t="s">
        <v>0</v>
      </c>
      <c r="B1" s="78"/>
      <c r="C1" s="78"/>
    </row>
    <row r="2" spans="1:6" x14ac:dyDescent="0.25">
      <c r="A2" s="78"/>
      <c r="B2" s="78"/>
      <c r="C2" s="78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0" t="s">
        <v>43</v>
      </c>
      <c r="E4" s="80"/>
    </row>
    <row r="5" spans="1:6" x14ac:dyDescent="0.25">
      <c r="A5" s="79" t="s">
        <v>21</v>
      </c>
      <c r="B5" s="79"/>
      <c r="C5" s="79"/>
      <c r="D5" s="79"/>
      <c r="E5" s="79"/>
      <c r="F5" s="79"/>
    </row>
    <row r="6" spans="1:6" x14ac:dyDescent="0.25">
      <c r="A6" s="79"/>
      <c r="B6" s="79"/>
      <c r="C6" s="79"/>
      <c r="D6" s="79"/>
      <c r="E6" s="79"/>
      <c r="F6" s="79"/>
    </row>
    <row r="7" spans="1:6" x14ac:dyDescent="0.25">
      <c r="A7" s="7" t="s">
        <v>24</v>
      </c>
    </row>
    <row r="8" spans="1:6" x14ac:dyDescent="0.25">
      <c r="A8" s="77"/>
      <c r="B8" s="7" t="s">
        <v>25</v>
      </c>
    </row>
    <row r="9" spans="1:6" x14ac:dyDescent="0.25">
      <c r="A9" s="77"/>
      <c r="B9" s="7" t="s">
        <v>23</v>
      </c>
    </row>
    <row r="10" spans="1:6" x14ac:dyDescent="0.25">
      <c r="A10" s="77"/>
      <c r="C10" s="7" t="s">
        <v>35</v>
      </c>
    </row>
    <row r="11" spans="1:6" x14ac:dyDescent="0.25">
      <c r="A11" s="77"/>
      <c r="B11" s="7" t="s">
        <v>22</v>
      </c>
      <c r="C11" s="76"/>
    </row>
    <row r="12" spans="1:6" x14ac:dyDescent="0.25">
      <c r="A12" s="77"/>
      <c r="B12" s="7" t="s">
        <v>26</v>
      </c>
      <c r="C12" s="76"/>
    </row>
    <row r="13" spans="1:6" x14ac:dyDescent="0.25">
      <c r="A13" s="77"/>
      <c r="B13" s="7" t="s">
        <v>46</v>
      </c>
      <c r="C13" s="76"/>
    </row>
    <row r="14" spans="1:6" x14ac:dyDescent="0.25">
      <c r="A14" s="7" t="s">
        <v>27</v>
      </c>
      <c r="C14" s="76"/>
    </row>
    <row r="15" spans="1:6" x14ac:dyDescent="0.25">
      <c r="A15" s="77"/>
      <c r="B15" s="7" t="s">
        <v>28</v>
      </c>
      <c r="C15" s="76"/>
    </row>
    <row r="16" spans="1:6" x14ac:dyDescent="0.25">
      <c r="A16" s="77"/>
      <c r="B16" s="76"/>
      <c r="C16" s="7" t="s">
        <v>31</v>
      </c>
    </row>
    <row r="17" spans="1:4" x14ac:dyDescent="0.25">
      <c r="A17" s="77"/>
      <c r="B17" s="76"/>
      <c r="C17" s="76"/>
      <c r="D17" s="9" t="s">
        <v>40</v>
      </c>
    </row>
    <row r="18" spans="1:4" x14ac:dyDescent="0.25">
      <c r="A18" s="77"/>
      <c r="B18" s="76"/>
      <c r="C18" s="76"/>
      <c r="D18" s="9" t="s">
        <v>39</v>
      </c>
    </row>
    <row r="19" spans="1:4" x14ac:dyDescent="0.25">
      <c r="A19" s="77"/>
      <c r="B19" s="76"/>
      <c r="C19" s="76"/>
      <c r="D19" s="7" t="s">
        <v>22</v>
      </c>
    </row>
    <row r="20" spans="1:4" x14ac:dyDescent="0.25">
      <c r="A20" s="77"/>
      <c r="B20" s="76"/>
      <c r="C20" s="7" t="s">
        <v>32</v>
      </c>
    </row>
    <row r="21" spans="1:4" x14ac:dyDescent="0.25">
      <c r="A21" s="77"/>
      <c r="B21" s="76"/>
      <c r="C21" s="76"/>
      <c r="D21" s="9" t="s">
        <v>40</v>
      </c>
    </row>
    <row r="22" spans="1:4" x14ac:dyDescent="0.25">
      <c r="A22" s="77"/>
      <c r="B22" s="76"/>
      <c r="C22" s="76"/>
      <c r="D22" s="9" t="s">
        <v>39</v>
      </c>
    </row>
    <row r="23" spans="1:4" x14ac:dyDescent="0.25">
      <c r="A23" s="77"/>
      <c r="B23" s="76"/>
      <c r="C23" s="76"/>
      <c r="D23" s="7" t="s">
        <v>22</v>
      </c>
    </row>
    <row r="24" spans="1:4" x14ac:dyDescent="0.25">
      <c r="A24" s="77"/>
      <c r="B24" s="7" t="s">
        <v>29</v>
      </c>
      <c r="C24" s="76"/>
      <c r="D24" s="76"/>
    </row>
    <row r="25" spans="1:4" x14ac:dyDescent="0.25">
      <c r="A25" s="77"/>
      <c r="B25" s="76"/>
      <c r="C25" s="7" t="s">
        <v>33</v>
      </c>
      <c r="D25" s="76"/>
    </row>
    <row r="26" spans="1:4" x14ac:dyDescent="0.25">
      <c r="A26" s="77"/>
      <c r="B26" s="76"/>
      <c r="C26" s="76"/>
      <c r="D26" s="9" t="s">
        <v>40</v>
      </c>
    </row>
    <row r="27" spans="1:4" x14ac:dyDescent="0.25">
      <c r="A27" s="77"/>
      <c r="B27" s="76"/>
      <c r="C27" s="76"/>
      <c r="D27" s="7" t="s">
        <v>39</v>
      </c>
    </row>
    <row r="28" spans="1:4" x14ac:dyDescent="0.25">
      <c r="A28" s="77"/>
      <c r="B28" s="76"/>
      <c r="C28" s="76"/>
      <c r="D28" s="7" t="s">
        <v>22</v>
      </c>
    </row>
    <row r="29" spans="1:4" x14ac:dyDescent="0.25">
      <c r="A29" s="77"/>
      <c r="B29" s="76"/>
      <c r="C29" s="7" t="s">
        <v>34</v>
      </c>
    </row>
    <row r="30" spans="1:4" x14ac:dyDescent="0.25">
      <c r="A30" s="77"/>
      <c r="B30" s="76"/>
      <c r="C30" s="76"/>
      <c r="D30" s="7" t="s">
        <v>40</v>
      </c>
    </row>
    <row r="31" spans="1:4" x14ac:dyDescent="0.25">
      <c r="A31" s="77"/>
      <c r="B31" s="76"/>
      <c r="C31" s="76"/>
      <c r="D31" s="7" t="s">
        <v>39</v>
      </c>
    </row>
    <row r="32" spans="1:4" x14ac:dyDescent="0.25">
      <c r="A32" s="77"/>
      <c r="B32" s="76"/>
      <c r="C32" s="76"/>
      <c r="D32" s="7" t="s">
        <v>22</v>
      </c>
    </row>
    <row r="33" spans="1:4" x14ac:dyDescent="0.25">
      <c r="A33" s="77"/>
      <c r="B33" s="7" t="s">
        <v>30</v>
      </c>
      <c r="C33" s="76"/>
      <c r="D33" s="76"/>
    </row>
    <row r="34" spans="1:4" x14ac:dyDescent="0.25">
      <c r="A34" s="77"/>
      <c r="B34" s="76"/>
      <c r="C34" s="7" t="s">
        <v>33</v>
      </c>
      <c r="D34" s="76"/>
    </row>
    <row r="35" spans="1:4" x14ac:dyDescent="0.25">
      <c r="A35" s="77"/>
      <c r="B35" s="76"/>
      <c r="C35" s="81"/>
      <c r="D35" s="18" t="s">
        <v>40</v>
      </c>
    </row>
    <row r="36" spans="1:4" x14ac:dyDescent="0.25">
      <c r="A36" s="77"/>
      <c r="B36" s="76"/>
      <c r="C36" s="81"/>
      <c r="D36" s="7" t="s">
        <v>39</v>
      </c>
    </row>
    <row r="37" spans="1:4" x14ac:dyDescent="0.25">
      <c r="A37" s="77"/>
      <c r="B37" s="76"/>
      <c r="C37" s="81"/>
      <c r="D37" s="7" t="s">
        <v>22</v>
      </c>
    </row>
    <row r="38" spans="1:4" x14ac:dyDescent="0.25">
      <c r="A38" s="77"/>
      <c r="B38" s="76"/>
      <c r="C38" s="6" t="s">
        <v>34</v>
      </c>
    </row>
    <row r="39" spans="1:4" x14ac:dyDescent="0.25">
      <c r="A39" s="77"/>
      <c r="B39" s="76"/>
      <c r="C39" s="76"/>
      <c r="D39" s="6" t="s">
        <v>40</v>
      </c>
    </row>
    <row r="40" spans="1:4" x14ac:dyDescent="0.25">
      <c r="A40" s="77"/>
      <c r="B40" s="76"/>
      <c r="C40" s="76"/>
      <c r="D40" s="6" t="s">
        <v>39</v>
      </c>
    </row>
    <row r="41" spans="1:4" x14ac:dyDescent="0.25">
      <c r="A41" s="77"/>
      <c r="B41" s="76"/>
      <c r="C41" s="76"/>
      <c r="D41" s="6" t="s">
        <v>22</v>
      </c>
    </row>
    <row r="42" spans="1:4" x14ac:dyDescent="0.25">
      <c r="A42" s="7" t="s">
        <v>36</v>
      </c>
      <c r="B42" s="76"/>
      <c r="C42" s="76"/>
    </row>
    <row r="43" spans="1:4" x14ac:dyDescent="0.25">
      <c r="B43" s="7" t="s">
        <v>37</v>
      </c>
      <c r="C43" s="76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2" t="s">
        <v>1</v>
      </c>
      <c r="C1" s="82"/>
      <c r="D1" s="82"/>
      <c r="E1" s="82"/>
      <c r="F1" s="83" t="s">
        <v>16</v>
      </c>
      <c r="G1" s="83"/>
      <c r="H1" s="83"/>
      <c r="I1" s="83"/>
      <c r="J1" s="83"/>
      <c r="K1" s="83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4" t="s">
        <v>119</v>
      </c>
      <c r="B1" s="84"/>
      <c r="C1" s="84"/>
      <c r="D1" s="84"/>
      <c r="H1" s="84" t="s">
        <v>124</v>
      </c>
      <c r="I1" s="84"/>
      <c r="J1" s="84"/>
      <c r="K1" s="84"/>
      <c r="L1" s="84"/>
    </row>
    <row r="2" spans="1:12" x14ac:dyDescent="0.25">
      <c r="A2" s="84"/>
      <c r="B2" s="84"/>
      <c r="C2" s="84"/>
      <c r="D2" s="84"/>
      <c r="H2" s="84"/>
      <c r="I2" s="84"/>
      <c r="J2" s="84"/>
      <c r="K2" s="84"/>
      <c r="L2" s="8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0.41176470588235292</v>
      </c>
      <c r="H4" s="27" t="s">
        <v>61</v>
      </c>
      <c r="I4" s="46">
        <f>COUNTIF(Checklist!D2:D1048576,"Completed")</f>
        <v>66</v>
      </c>
      <c r="J4" s="51">
        <f>I4/I8</f>
        <v>0.7857142857142857</v>
      </c>
    </row>
    <row r="5" spans="1:12" x14ac:dyDescent="0.25">
      <c r="A5" s="25" t="s">
        <v>85</v>
      </c>
      <c r="B5" s="40">
        <f>COUNTIF(Planning!M3:M1048576,"No")</f>
        <v>2</v>
      </c>
      <c r="C5" s="44">
        <f>B5/B7</f>
        <v>0.11764705882352941</v>
      </c>
      <c r="H5" s="27" t="s">
        <v>65</v>
      </c>
      <c r="I5" s="47">
        <f>COUNTIF(Checklist!D2:D1048576,"Not Started")</f>
        <v>12</v>
      </c>
      <c r="J5" s="52">
        <f>I5/I8</f>
        <v>0.14285714285714285</v>
      </c>
    </row>
    <row r="6" spans="1:12" x14ac:dyDescent="0.25">
      <c r="A6" s="25" t="s">
        <v>109</v>
      </c>
      <c r="B6" s="41">
        <f>COUNTIF(Planning!M3:M1048576,"Some")</f>
        <v>8</v>
      </c>
      <c r="C6" s="43">
        <f>B6/B7</f>
        <v>0.47058823529411764</v>
      </c>
      <c r="H6" s="27" t="s">
        <v>123</v>
      </c>
      <c r="I6" s="48">
        <f>COUNTIF(Checklist!D2:D1048576,"working")</f>
        <v>5</v>
      </c>
      <c r="J6" s="50">
        <f>I6/I8</f>
        <v>5.9523809523809521E-2</v>
      </c>
    </row>
    <row r="7" spans="1:12" x14ac:dyDescent="0.25">
      <c r="A7" s="38" t="s">
        <v>122</v>
      </c>
      <c r="B7">
        <f>SUM(B4:B6)</f>
        <v>17</v>
      </c>
      <c r="H7" s="27" t="s">
        <v>125</v>
      </c>
      <c r="I7" s="49">
        <f>COUNTIF(Checklist!D2:D1048576,"Fixing")</f>
        <v>1</v>
      </c>
      <c r="J7" s="53">
        <f>I7/I8</f>
        <v>1.1904761904761904E-2</v>
      </c>
    </row>
    <row r="8" spans="1:12" x14ac:dyDescent="0.25">
      <c r="H8" s="38" t="s">
        <v>122</v>
      </c>
      <c r="I8" s="45">
        <f>SUM(I4:I7)</f>
        <v>84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abSelected="1" workbookViewId="0">
      <pane ySplit="2" topLeftCell="A18" activePane="bottomLeft" state="frozen"/>
      <selection pane="bottomLeft" activeCell="D18" sqref="D1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5" t="s">
        <v>13</v>
      </c>
      <c r="B1" s="85"/>
      <c r="C1" s="85"/>
      <c r="D1" s="85"/>
      <c r="E1" s="85"/>
      <c r="F1" s="85"/>
      <c r="G1" s="85"/>
      <c r="H1" s="8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6" t="s">
        <v>199</v>
      </c>
      <c r="C15" s="8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249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246</v>
      </c>
      <c r="J19" s="70" t="s">
        <v>243</v>
      </c>
      <c r="L19" s="35" t="s">
        <v>245</v>
      </c>
      <c r="M19" s="25" t="s">
        <v>85</v>
      </c>
    </row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6"/>
  <sheetViews>
    <sheetView workbookViewId="0">
      <pane xSplit="1" ySplit="2" topLeftCell="B81" activePane="bottomRight" state="frozen"/>
      <selection pane="topRight" activeCell="B1" sqref="B1"/>
      <selection pane="bottomLeft" activeCell="A3" sqref="A3"/>
      <selection pane="bottomRight" activeCell="B85" sqref="B85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2" t="s">
        <v>53</v>
      </c>
      <c r="B3" s="91" t="s">
        <v>59</v>
      </c>
      <c r="C3" s="13" t="s">
        <v>75</v>
      </c>
      <c r="D3" s="27" t="s">
        <v>61</v>
      </c>
      <c r="E3" s="90" t="s">
        <v>71</v>
      </c>
    </row>
    <row r="4" spans="1:6" ht="12" customHeight="1" x14ac:dyDescent="0.2">
      <c r="A4" s="92"/>
      <c r="B4" s="91"/>
      <c r="C4" s="13" t="s">
        <v>62</v>
      </c>
      <c r="D4" s="27" t="s">
        <v>61</v>
      </c>
      <c r="E4" s="90"/>
    </row>
    <row r="5" spans="1:6" ht="12" customHeight="1" x14ac:dyDescent="0.2">
      <c r="A5" s="92"/>
      <c r="B5" s="91"/>
      <c r="C5" s="13" t="s">
        <v>63</v>
      </c>
      <c r="D5" s="27" t="s">
        <v>61</v>
      </c>
      <c r="E5" s="90"/>
    </row>
    <row r="6" spans="1:6" ht="12" customHeight="1" x14ac:dyDescent="0.2">
      <c r="A6" s="92"/>
      <c r="B6" s="91"/>
      <c r="C6" s="13" t="s">
        <v>64</v>
      </c>
      <c r="D6" s="27" t="s">
        <v>61</v>
      </c>
      <c r="E6" s="90"/>
    </row>
    <row r="7" spans="1:6" ht="12" customHeight="1" x14ac:dyDescent="0.2">
      <c r="A7" s="92"/>
      <c r="B7" s="91"/>
      <c r="C7" s="13" t="s">
        <v>72</v>
      </c>
      <c r="D7" s="27" t="s">
        <v>61</v>
      </c>
      <c r="E7" s="90"/>
    </row>
    <row r="8" spans="1:6" ht="12" customHeight="1" x14ac:dyDescent="0.2">
      <c r="A8" s="92"/>
      <c r="B8" s="91"/>
      <c r="C8" s="13" t="s">
        <v>67</v>
      </c>
      <c r="D8" s="27" t="s">
        <v>61</v>
      </c>
      <c r="E8" s="90"/>
    </row>
    <row r="9" spans="1:6" ht="12" customHeight="1" x14ac:dyDescent="0.2">
      <c r="A9" s="92"/>
      <c r="B9" s="91"/>
      <c r="C9" s="13" t="s">
        <v>66</v>
      </c>
      <c r="D9" s="27" t="s">
        <v>61</v>
      </c>
      <c r="E9" s="90"/>
    </row>
    <row r="10" spans="1:6" ht="15" customHeight="1" x14ac:dyDescent="0.2">
      <c r="A10" s="92"/>
      <c r="B10" s="91"/>
      <c r="C10" s="13" t="s">
        <v>73</v>
      </c>
      <c r="D10" s="27" t="s">
        <v>61</v>
      </c>
      <c r="E10" s="90"/>
    </row>
    <row r="11" spans="1:6" x14ac:dyDescent="0.2">
      <c r="A11" s="92"/>
      <c r="B11" s="66" t="s">
        <v>90</v>
      </c>
      <c r="C11" s="13" t="s">
        <v>74</v>
      </c>
      <c r="D11" s="27" t="s">
        <v>61</v>
      </c>
      <c r="E11" s="90"/>
    </row>
    <row r="12" spans="1:6" x14ac:dyDescent="0.2">
      <c r="A12" s="92" t="s">
        <v>59</v>
      </c>
      <c r="C12" s="13" t="s">
        <v>91</v>
      </c>
      <c r="D12" s="27" t="s">
        <v>65</v>
      </c>
      <c r="E12" s="90" t="s">
        <v>87</v>
      </c>
    </row>
    <row r="13" spans="1:6" ht="24" x14ac:dyDescent="0.2">
      <c r="A13" s="92"/>
      <c r="B13" s="67" t="s">
        <v>225</v>
      </c>
      <c r="C13" s="13" t="s">
        <v>92</v>
      </c>
      <c r="D13" s="27" t="s">
        <v>61</v>
      </c>
      <c r="E13" s="90"/>
    </row>
    <row r="14" spans="1:6" ht="24" x14ac:dyDescent="0.2">
      <c r="A14" s="92" t="s">
        <v>90</v>
      </c>
      <c r="B14" s="67">
        <v>42621</v>
      </c>
      <c r="C14" s="13" t="s">
        <v>127</v>
      </c>
      <c r="D14" s="27" t="s">
        <v>61</v>
      </c>
      <c r="E14" s="90" t="s">
        <v>93</v>
      </c>
    </row>
    <row r="15" spans="1:6" ht="24" x14ac:dyDescent="0.2">
      <c r="A15" s="92"/>
      <c r="C15" s="13" t="s">
        <v>94</v>
      </c>
      <c r="D15" s="27" t="s">
        <v>65</v>
      </c>
      <c r="E15" s="90"/>
    </row>
    <row r="16" spans="1:6" x14ac:dyDescent="0.2">
      <c r="A16" s="92"/>
      <c r="C16" s="13" t="s">
        <v>99</v>
      </c>
      <c r="D16" s="27" t="s">
        <v>65</v>
      </c>
      <c r="E16" s="90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3" t="s">
        <v>112</v>
      </c>
      <c r="B18" s="67">
        <v>42712</v>
      </c>
      <c r="C18" s="13" t="s">
        <v>113</v>
      </c>
      <c r="D18" s="27" t="s">
        <v>61</v>
      </c>
      <c r="E18" s="87" t="s">
        <v>116</v>
      </c>
    </row>
    <row r="19" spans="1:5" x14ac:dyDescent="0.2">
      <c r="A19" s="93"/>
      <c r="B19" s="67" t="s">
        <v>112</v>
      </c>
      <c r="C19" s="13" t="s">
        <v>114</v>
      </c>
      <c r="D19" s="27" t="s">
        <v>61</v>
      </c>
      <c r="E19" s="87"/>
    </row>
    <row r="20" spans="1:5" x14ac:dyDescent="0.2">
      <c r="A20" s="93"/>
      <c r="B20" s="67" t="s">
        <v>118</v>
      </c>
      <c r="C20" s="13" t="s">
        <v>115</v>
      </c>
      <c r="D20" s="27" t="s">
        <v>61</v>
      </c>
      <c r="E20" s="87"/>
    </row>
    <row r="21" spans="1:5" x14ac:dyDescent="0.2">
      <c r="A21" s="88" t="s">
        <v>128</v>
      </c>
      <c r="C21" s="13" t="s">
        <v>129</v>
      </c>
      <c r="D21" s="27" t="s">
        <v>65</v>
      </c>
      <c r="E21" s="87" t="s">
        <v>132</v>
      </c>
    </row>
    <row r="22" spans="1:5" x14ac:dyDescent="0.2">
      <c r="A22" s="88"/>
      <c r="C22" s="13" t="s">
        <v>130</v>
      </c>
      <c r="D22" s="27" t="s">
        <v>65</v>
      </c>
      <c r="E22" s="87"/>
    </row>
    <row r="23" spans="1:5" ht="15" customHeight="1" x14ac:dyDescent="0.2">
      <c r="A23" s="88" t="s">
        <v>134</v>
      </c>
      <c r="B23" s="89" t="s">
        <v>134</v>
      </c>
      <c r="C23" s="13" t="s">
        <v>136</v>
      </c>
      <c r="D23" s="27" t="s">
        <v>61</v>
      </c>
      <c r="E23" s="87" t="s">
        <v>138</v>
      </c>
    </row>
    <row r="24" spans="1:5" ht="15" customHeight="1" x14ac:dyDescent="0.2">
      <c r="A24" s="88"/>
      <c r="B24" s="89"/>
      <c r="C24" s="13" t="s">
        <v>137</v>
      </c>
      <c r="D24" s="27" t="s">
        <v>61</v>
      </c>
      <c r="E24" s="87"/>
    </row>
    <row r="25" spans="1:5" ht="15" customHeight="1" x14ac:dyDescent="0.2">
      <c r="A25" s="88"/>
      <c r="B25" s="89"/>
      <c r="C25" s="13" t="s">
        <v>141</v>
      </c>
      <c r="D25" s="27" t="s">
        <v>61</v>
      </c>
      <c r="E25" s="87"/>
    </row>
    <row r="26" spans="1:5" ht="12" customHeight="1" x14ac:dyDescent="0.2">
      <c r="A26" s="94">
        <v>42588</v>
      </c>
      <c r="B26" s="98">
        <v>42588</v>
      </c>
      <c r="C26" s="58" t="s">
        <v>145</v>
      </c>
      <c r="D26" s="59" t="s">
        <v>61</v>
      </c>
      <c r="E26" s="96" t="s">
        <v>146</v>
      </c>
    </row>
    <row r="27" spans="1:5" ht="12" customHeight="1" x14ac:dyDescent="0.2">
      <c r="A27" s="95"/>
      <c r="B27" s="98"/>
      <c r="C27" s="58" t="s">
        <v>147</v>
      </c>
      <c r="D27" s="59" t="s">
        <v>61</v>
      </c>
      <c r="E27" s="97"/>
    </row>
    <row r="28" spans="1:5" ht="15" customHeight="1" x14ac:dyDescent="0.2">
      <c r="A28" s="95"/>
      <c r="B28" s="98"/>
      <c r="C28" s="58" t="s">
        <v>148</v>
      </c>
      <c r="D28" s="59" t="s">
        <v>61</v>
      </c>
      <c r="E28" s="97"/>
    </row>
    <row r="29" spans="1:5" ht="15" customHeight="1" x14ac:dyDescent="0.2">
      <c r="A29" s="95"/>
      <c r="B29" s="98"/>
      <c r="C29" s="58" t="s">
        <v>149</v>
      </c>
      <c r="D29" s="59" t="s">
        <v>61</v>
      </c>
      <c r="E29" s="97"/>
    </row>
    <row r="30" spans="1:5" ht="24" x14ac:dyDescent="0.2">
      <c r="A30" s="88">
        <v>42621</v>
      </c>
      <c r="B30" s="67">
        <v>42712</v>
      </c>
      <c r="C30" s="13" t="s">
        <v>152</v>
      </c>
      <c r="D30" s="27" t="s">
        <v>61</v>
      </c>
      <c r="E30" s="87" t="s">
        <v>153</v>
      </c>
    </row>
    <row r="31" spans="1:5" ht="24" x14ac:dyDescent="0.2">
      <c r="A31" s="88"/>
      <c r="B31" s="67">
        <v>42712</v>
      </c>
      <c r="C31" s="13" t="s">
        <v>155</v>
      </c>
      <c r="D31" s="27" t="s">
        <v>61</v>
      </c>
      <c r="E31" s="87"/>
    </row>
    <row r="32" spans="1:5" ht="15" customHeight="1" x14ac:dyDescent="0.2">
      <c r="A32" s="88">
        <v>42651</v>
      </c>
      <c r="B32" s="89">
        <v>42651</v>
      </c>
      <c r="C32" s="13" t="s">
        <v>180</v>
      </c>
      <c r="D32" s="59" t="s">
        <v>61</v>
      </c>
      <c r="E32" s="101" t="s">
        <v>156</v>
      </c>
    </row>
    <row r="33" spans="1:6" ht="15" customHeight="1" x14ac:dyDescent="0.2">
      <c r="A33" s="88"/>
      <c r="B33" s="89"/>
      <c r="C33" s="13" t="s">
        <v>179</v>
      </c>
      <c r="D33" s="59" t="s">
        <v>61</v>
      </c>
      <c r="E33" s="101"/>
    </row>
    <row r="34" spans="1:6" ht="15" customHeight="1" x14ac:dyDescent="0.2">
      <c r="A34" s="88"/>
      <c r="B34" s="89"/>
      <c r="C34" s="13" t="s">
        <v>181</v>
      </c>
      <c r="D34" s="59" t="s">
        <v>61</v>
      </c>
      <c r="E34" s="101"/>
    </row>
    <row r="35" spans="1:6" ht="15" customHeight="1" x14ac:dyDescent="0.2">
      <c r="A35" s="88"/>
      <c r="B35" s="89"/>
      <c r="C35" s="13" t="s">
        <v>158</v>
      </c>
      <c r="D35" s="59" t="s">
        <v>61</v>
      </c>
      <c r="E35" s="101"/>
      <c r="F35" s="99" t="s">
        <v>178</v>
      </c>
    </row>
    <row r="36" spans="1:6" ht="20.25" customHeight="1" x14ac:dyDescent="0.2">
      <c r="A36" s="88"/>
      <c r="B36" s="89"/>
      <c r="C36" s="13" t="s">
        <v>159</v>
      </c>
      <c r="D36" s="59" t="s">
        <v>61</v>
      </c>
      <c r="E36" s="101"/>
      <c r="F36" s="100"/>
    </row>
    <row r="37" spans="1:6" ht="15" customHeight="1" x14ac:dyDescent="0.2">
      <c r="A37" s="88"/>
      <c r="B37" s="89"/>
      <c r="C37" s="13" t="s">
        <v>160</v>
      </c>
      <c r="D37" s="27" t="s">
        <v>61</v>
      </c>
      <c r="E37" s="101"/>
    </row>
    <row r="38" spans="1:6" ht="15" customHeight="1" x14ac:dyDescent="0.2">
      <c r="A38" s="88"/>
      <c r="B38" s="89"/>
      <c r="C38" s="13" t="s">
        <v>161</v>
      </c>
      <c r="D38" s="27" t="s">
        <v>61</v>
      </c>
      <c r="E38" s="101"/>
    </row>
    <row r="39" spans="1:6" x14ac:dyDescent="0.2">
      <c r="A39" s="88"/>
      <c r="C39" s="13" t="s">
        <v>165</v>
      </c>
      <c r="D39" s="27" t="s">
        <v>65</v>
      </c>
      <c r="E39" s="101"/>
    </row>
    <row r="40" spans="1:6" x14ac:dyDescent="0.2">
      <c r="A40" s="88"/>
      <c r="B40" s="67" t="s">
        <v>186</v>
      </c>
      <c r="C40" s="13" t="s">
        <v>164</v>
      </c>
      <c r="D40" s="27" t="s">
        <v>61</v>
      </c>
      <c r="E40" s="101"/>
    </row>
    <row r="41" spans="1:6" ht="15" customHeight="1" x14ac:dyDescent="0.2">
      <c r="A41" s="88"/>
      <c r="B41" s="89" t="s">
        <v>196</v>
      </c>
      <c r="C41" s="13" t="s">
        <v>162</v>
      </c>
      <c r="D41" s="27" t="s">
        <v>61</v>
      </c>
      <c r="E41" s="101"/>
    </row>
    <row r="42" spans="1:6" ht="15" customHeight="1" x14ac:dyDescent="0.2">
      <c r="A42" s="88"/>
      <c r="B42" s="89"/>
      <c r="C42" s="13" t="s">
        <v>163</v>
      </c>
      <c r="D42" s="27" t="s">
        <v>61</v>
      </c>
      <c r="E42" s="101"/>
    </row>
    <row r="43" spans="1:6" x14ac:dyDescent="0.2">
      <c r="A43" s="88"/>
      <c r="C43" s="13" t="s">
        <v>168</v>
      </c>
      <c r="D43" s="27" t="s">
        <v>123</v>
      </c>
      <c r="E43" s="101"/>
    </row>
    <row r="44" spans="1:6" x14ac:dyDescent="0.2">
      <c r="A44" s="88"/>
      <c r="C44" s="13" t="s">
        <v>169</v>
      </c>
      <c r="D44" s="27" t="s">
        <v>123</v>
      </c>
      <c r="E44" s="101"/>
    </row>
    <row r="45" spans="1:6" x14ac:dyDescent="0.2">
      <c r="A45" s="88"/>
      <c r="B45" s="67">
        <v>42712</v>
      </c>
      <c r="C45" s="13" t="s">
        <v>171</v>
      </c>
      <c r="D45" s="27" t="s">
        <v>61</v>
      </c>
      <c r="E45" s="101"/>
    </row>
    <row r="46" spans="1:6" x14ac:dyDescent="0.2">
      <c r="A46" s="88">
        <v>42712</v>
      </c>
      <c r="C46" s="13" t="s">
        <v>172</v>
      </c>
      <c r="D46" s="27" t="s">
        <v>123</v>
      </c>
      <c r="E46" s="87" t="s">
        <v>173</v>
      </c>
    </row>
    <row r="47" spans="1:6" x14ac:dyDescent="0.2">
      <c r="A47" s="88"/>
      <c r="C47" s="13" t="s">
        <v>175</v>
      </c>
      <c r="D47" s="27" t="s">
        <v>123</v>
      </c>
      <c r="E47" s="87"/>
    </row>
    <row r="48" spans="1:6" ht="24" x14ac:dyDescent="0.2">
      <c r="A48" s="88"/>
      <c r="B48" s="89">
        <v>42712</v>
      </c>
      <c r="C48" s="13" t="s">
        <v>176</v>
      </c>
      <c r="D48" s="27" t="s">
        <v>61</v>
      </c>
      <c r="E48" s="87"/>
    </row>
    <row r="49" spans="1:5" ht="15" customHeight="1" x14ac:dyDescent="0.2">
      <c r="A49" s="88"/>
      <c r="B49" s="89"/>
      <c r="C49" s="13" t="s">
        <v>182</v>
      </c>
      <c r="D49" s="27" t="s">
        <v>61</v>
      </c>
      <c r="E49" s="87"/>
    </row>
    <row r="50" spans="1:5" ht="15" customHeight="1" x14ac:dyDescent="0.2">
      <c r="A50" s="88"/>
      <c r="B50" s="89"/>
      <c r="C50" s="13" t="s">
        <v>183</v>
      </c>
      <c r="D50" s="27" t="s">
        <v>61</v>
      </c>
      <c r="E50" s="87"/>
    </row>
    <row r="51" spans="1:5" ht="15" customHeight="1" x14ac:dyDescent="0.2">
      <c r="A51" s="88"/>
      <c r="B51" s="89"/>
      <c r="C51" s="13" t="s">
        <v>182</v>
      </c>
      <c r="D51" s="27" t="s">
        <v>61</v>
      </c>
      <c r="E51" s="87"/>
    </row>
    <row r="52" spans="1:5" ht="15" customHeight="1" x14ac:dyDescent="0.2">
      <c r="A52" s="88"/>
      <c r="B52" s="89"/>
      <c r="C52" s="13" t="s">
        <v>183</v>
      </c>
      <c r="D52" s="27" t="s">
        <v>61</v>
      </c>
      <c r="E52" s="87"/>
    </row>
    <row r="53" spans="1:5" ht="15" customHeight="1" x14ac:dyDescent="0.2">
      <c r="A53" s="88"/>
      <c r="B53" s="89"/>
      <c r="C53" s="13" t="s">
        <v>184</v>
      </c>
      <c r="D53" s="27" t="s">
        <v>61</v>
      </c>
      <c r="E53" s="87"/>
    </row>
    <row r="54" spans="1:5" ht="24" x14ac:dyDescent="0.2">
      <c r="A54" s="88" t="s">
        <v>190</v>
      </c>
      <c r="B54" s="71" t="s">
        <v>186</v>
      </c>
      <c r="C54" s="13" t="s">
        <v>188</v>
      </c>
      <c r="D54" s="27" t="s">
        <v>61</v>
      </c>
      <c r="E54" s="87" t="s">
        <v>220</v>
      </c>
    </row>
    <row r="55" spans="1:5" ht="15" customHeight="1" x14ac:dyDescent="0.2">
      <c r="A55" s="88"/>
      <c r="B55" s="73" t="s">
        <v>212</v>
      </c>
      <c r="C55" s="13" t="s">
        <v>189</v>
      </c>
      <c r="D55" s="27" t="s">
        <v>61</v>
      </c>
      <c r="E55" s="87"/>
    </row>
    <row r="56" spans="1:5" ht="15" customHeight="1" x14ac:dyDescent="0.2">
      <c r="A56" s="88"/>
      <c r="B56" s="89" t="s">
        <v>186</v>
      </c>
      <c r="C56" s="13" t="s">
        <v>191</v>
      </c>
      <c r="D56" s="27" t="s">
        <v>61</v>
      </c>
      <c r="E56" s="87"/>
    </row>
    <row r="57" spans="1:5" ht="15" customHeight="1" x14ac:dyDescent="0.2">
      <c r="A57" s="88"/>
      <c r="B57" s="89"/>
      <c r="C57" s="13" t="s">
        <v>192</v>
      </c>
      <c r="D57" s="27" t="s">
        <v>61</v>
      </c>
      <c r="E57" s="87"/>
    </row>
    <row r="58" spans="1:5" ht="15" customHeight="1" x14ac:dyDescent="0.2">
      <c r="A58" s="88"/>
      <c r="B58" s="89"/>
      <c r="C58" s="13" t="s">
        <v>193</v>
      </c>
      <c r="D58" s="27" t="s">
        <v>61</v>
      </c>
      <c r="E58" s="87"/>
    </row>
    <row r="59" spans="1:5" ht="15" customHeight="1" x14ac:dyDescent="0.2">
      <c r="A59" s="88"/>
      <c r="B59" s="89"/>
      <c r="C59" s="13" t="s">
        <v>195</v>
      </c>
      <c r="D59" s="27" t="s">
        <v>61</v>
      </c>
      <c r="E59" s="87"/>
    </row>
    <row r="60" spans="1:5" ht="15" customHeight="1" x14ac:dyDescent="0.2">
      <c r="A60" s="88"/>
      <c r="B60" s="89"/>
      <c r="C60" s="13" t="s">
        <v>194</v>
      </c>
      <c r="D60" s="27" t="s">
        <v>61</v>
      </c>
      <c r="E60" s="87"/>
    </row>
    <row r="61" spans="1:5" ht="15" customHeight="1" x14ac:dyDescent="0.2">
      <c r="A61" s="88" t="s">
        <v>196</v>
      </c>
      <c r="B61" s="89" t="s">
        <v>196</v>
      </c>
      <c r="C61" s="13" t="s">
        <v>202</v>
      </c>
      <c r="D61" s="27" t="s">
        <v>61</v>
      </c>
      <c r="E61" s="87" t="s">
        <v>197</v>
      </c>
    </row>
    <row r="62" spans="1:5" ht="15" customHeight="1" x14ac:dyDescent="0.2">
      <c r="A62" s="88"/>
      <c r="B62" s="89"/>
      <c r="C62" s="13" t="s">
        <v>201</v>
      </c>
      <c r="D62" s="27" t="s">
        <v>61</v>
      </c>
      <c r="E62" s="87"/>
    </row>
    <row r="63" spans="1:5" ht="15" customHeight="1" x14ac:dyDescent="0.2">
      <c r="A63" s="88"/>
      <c r="B63" s="89"/>
      <c r="C63" s="13" t="s">
        <v>203</v>
      </c>
      <c r="D63" s="27" t="s">
        <v>61</v>
      </c>
      <c r="E63" s="87"/>
    </row>
    <row r="64" spans="1:5" x14ac:dyDescent="0.2">
      <c r="A64" s="88"/>
      <c r="B64" s="67" t="s">
        <v>235</v>
      </c>
      <c r="C64" s="13" t="s">
        <v>204</v>
      </c>
      <c r="D64" s="27" t="s">
        <v>65</v>
      </c>
      <c r="E64" s="87"/>
    </row>
    <row r="65" spans="1:5" ht="15" customHeight="1" x14ac:dyDescent="0.2">
      <c r="A65" s="88"/>
      <c r="B65" s="89" t="s">
        <v>196</v>
      </c>
      <c r="C65" s="13" t="s">
        <v>208</v>
      </c>
      <c r="D65" s="27" t="s">
        <v>61</v>
      </c>
      <c r="E65" s="87"/>
    </row>
    <row r="66" spans="1:5" ht="15" customHeight="1" x14ac:dyDescent="0.2">
      <c r="A66" s="88"/>
      <c r="B66" s="89"/>
      <c r="C66" s="13" t="s">
        <v>205</v>
      </c>
      <c r="D66" s="27" t="s">
        <v>61</v>
      </c>
      <c r="E66" s="87"/>
    </row>
    <row r="67" spans="1:5" x14ac:dyDescent="0.2">
      <c r="A67" s="88"/>
      <c r="B67" s="67" t="s">
        <v>235</v>
      </c>
      <c r="C67" s="13" t="s">
        <v>206</v>
      </c>
      <c r="D67" s="27" t="s">
        <v>61</v>
      </c>
      <c r="E67" s="87"/>
    </row>
    <row r="68" spans="1:5" x14ac:dyDescent="0.2">
      <c r="A68" s="88"/>
      <c r="B68" s="67" t="s">
        <v>196</v>
      </c>
      <c r="C68" s="13" t="s">
        <v>207</v>
      </c>
      <c r="D68" s="27" t="s">
        <v>61</v>
      </c>
      <c r="E68" s="87"/>
    </row>
    <row r="69" spans="1:5" ht="24" x14ac:dyDescent="0.2">
      <c r="A69" s="88"/>
      <c r="C69" s="72" t="s">
        <v>209</v>
      </c>
      <c r="D69" s="27" t="s">
        <v>65</v>
      </c>
      <c r="E69" s="87"/>
    </row>
    <row r="70" spans="1:5" x14ac:dyDescent="0.2">
      <c r="A70" s="88"/>
      <c r="C70" s="13" t="s">
        <v>210</v>
      </c>
      <c r="D70" s="27" t="s">
        <v>125</v>
      </c>
      <c r="E70" s="87"/>
    </row>
    <row r="71" spans="1:5" ht="24" x14ac:dyDescent="0.2">
      <c r="A71" s="88"/>
      <c r="C71" s="13" t="s">
        <v>211</v>
      </c>
      <c r="D71" s="27" t="s">
        <v>65</v>
      </c>
      <c r="E71" s="87"/>
    </row>
    <row r="72" spans="1:5" ht="15" customHeight="1" x14ac:dyDescent="0.2">
      <c r="A72" s="88" t="s">
        <v>212</v>
      </c>
      <c r="B72" s="89" t="s">
        <v>225</v>
      </c>
      <c r="C72" s="13" t="s">
        <v>214</v>
      </c>
      <c r="D72" s="27" t="s">
        <v>61</v>
      </c>
      <c r="E72" s="87" t="s">
        <v>218</v>
      </c>
    </row>
    <row r="73" spans="1:5" ht="15" customHeight="1" x14ac:dyDescent="0.2">
      <c r="A73" s="88"/>
      <c r="B73" s="89"/>
      <c r="C73" s="13" t="s">
        <v>215</v>
      </c>
      <c r="D73" s="27" t="s">
        <v>61</v>
      </c>
      <c r="E73" s="87"/>
    </row>
    <row r="74" spans="1:5" ht="15" customHeight="1" x14ac:dyDescent="0.2">
      <c r="A74" s="88"/>
      <c r="B74" s="89"/>
      <c r="C74" s="13" t="s">
        <v>216</v>
      </c>
      <c r="D74" s="27" t="s">
        <v>61</v>
      </c>
      <c r="E74" s="87"/>
    </row>
    <row r="75" spans="1:5" x14ac:dyDescent="0.2">
      <c r="A75" s="88"/>
      <c r="B75" s="67" t="s">
        <v>234</v>
      </c>
      <c r="C75" s="13" t="s">
        <v>217</v>
      </c>
      <c r="D75" s="27" t="s">
        <v>61</v>
      </c>
      <c r="E75" s="87"/>
    </row>
    <row r="76" spans="1:5" x14ac:dyDescent="0.2">
      <c r="A76" s="88"/>
      <c r="C76" s="13" t="s">
        <v>219</v>
      </c>
      <c r="D76" s="27" t="s">
        <v>123</v>
      </c>
      <c r="E76" s="87"/>
    </row>
    <row r="77" spans="1:5" x14ac:dyDescent="0.2">
      <c r="A77" s="88"/>
      <c r="B77" s="67" t="s">
        <v>212</v>
      </c>
      <c r="C77" s="13" t="s">
        <v>223</v>
      </c>
      <c r="D77" s="27" t="s">
        <v>61</v>
      </c>
      <c r="E77" s="87"/>
    </row>
    <row r="78" spans="1:5" ht="24" x14ac:dyDescent="0.2">
      <c r="A78" s="88" t="s">
        <v>225</v>
      </c>
      <c r="B78" s="67" t="s">
        <v>225</v>
      </c>
      <c r="C78" s="13" t="s">
        <v>224</v>
      </c>
      <c r="D78" s="27" t="s">
        <v>61</v>
      </c>
      <c r="E78" s="87" t="s">
        <v>226</v>
      </c>
    </row>
    <row r="79" spans="1:5" x14ac:dyDescent="0.2">
      <c r="A79" s="88"/>
      <c r="C79" s="13" t="s">
        <v>229</v>
      </c>
      <c r="D79" s="27" t="s">
        <v>65</v>
      </c>
      <c r="E79" s="87"/>
    </row>
    <row r="80" spans="1:5" ht="24" x14ac:dyDescent="0.2">
      <c r="A80" s="88"/>
      <c r="B80" s="89" t="s">
        <v>225</v>
      </c>
      <c r="C80" s="13" t="s">
        <v>231</v>
      </c>
      <c r="D80" s="27" t="s">
        <v>61</v>
      </c>
      <c r="E80" s="87"/>
    </row>
    <row r="81" spans="1:5" ht="24" x14ac:dyDescent="0.2">
      <c r="A81" s="88"/>
      <c r="B81" s="89"/>
      <c r="C81" s="13" t="s">
        <v>233</v>
      </c>
      <c r="D81" s="27" t="s">
        <v>61</v>
      </c>
      <c r="E81" s="87"/>
    </row>
    <row r="82" spans="1:5" ht="24" x14ac:dyDescent="0.2">
      <c r="A82" s="88" t="s">
        <v>235</v>
      </c>
      <c r="B82" s="89" t="s">
        <v>243</v>
      </c>
      <c r="C82" s="13" t="s">
        <v>238</v>
      </c>
      <c r="D82" s="27" t="s">
        <v>61</v>
      </c>
      <c r="E82" s="87" t="s">
        <v>237</v>
      </c>
    </row>
    <row r="83" spans="1:5" ht="24" x14ac:dyDescent="0.2">
      <c r="A83" s="88"/>
      <c r="B83" s="89"/>
      <c r="C83" s="13" t="s">
        <v>239</v>
      </c>
      <c r="D83" s="27" t="s">
        <v>61</v>
      </c>
      <c r="E83" s="87"/>
    </row>
    <row r="84" spans="1:5" ht="24" x14ac:dyDescent="0.2">
      <c r="A84" s="88"/>
      <c r="B84" s="67" t="s">
        <v>248</v>
      </c>
      <c r="C84" s="13" t="s">
        <v>240</v>
      </c>
      <c r="D84" s="27" t="s">
        <v>61</v>
      </c>
      <c r="E84" s="87"/>
    </row>
    <row r="85" spans="1:5" ht="24" x14ac:dyDescent="0.2">
      <c r="A85" s="88"/>
      <c r="C85" s="75" t="s">
        <v>242</v>
      </c>
      <c r="D85" s="27" t="s">
        <v>65</v>
      </c>
      <c r="E85" s="87"/>
    </row>
    <row r="86" spans="1:5" x14ac:dyDescent="0.2">
      <c r="A86" s="65" t="s">
        <v>243</v>
      </c>
      <c r="C86" s="13" t="s">
        <v>247</v>
      </c>
      <c r="D86" s="27" t="s">
        <v>65</v>
      </c>
      <c r="E86" s="74" t="s">
        <v>244</v>
      </c>
    </row>
  </sheetData>
  <mergeCells count="43"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82:E85"/>
    <mergeCell ref="A82:A85"/>
    <mergeCell ref="B72:B74"/>
    <mergeCell ref="E72:E77"/>
    <mergeCell ref="A72:A77"/>
    <mergeCell ref="E78:E81"/>
    <mergeCell ref="A78:A81"/>
    <mergeCell ref="B80:B81"/>
    <mergeCell ref="B82:B83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2016-08-20T10:58:53Z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