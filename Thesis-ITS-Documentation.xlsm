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<sst xmlns="http://schemas.openxmlformats.org/spreadsheetml/2006/main" count="703" uniqueCount="385">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</sst>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23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0.4838709677419355</c:v>
                </c:pt>
                <c:pt idx="1">
                  <c:v>0.16129032258064516</c:v>
                </c:pt>
                <c:pt idx="2">
                  <c:v>0.35483870967741937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0.7814569536423841</c:v>
                </c:pt>
                <c:pt idx="1">
                  <c:v>0.15231788079470199</c:v>
                </c:pt>
                <c:pt idx="2">
                  <c:v>4.6357615894039736E-2</c:v>
                </c:pt>
                <c:pt idx="3">
                  <c:v>1.9867549668874173E-2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95" t="s">
        <v>0</v>
      </c>
      <c r="B1" s="95"/>
      <c r="C1" s="95"/>
    </row>
    <row r="2" spans="1:6" x14ac:dyDescent="0.25">
      <c r="A2" s="95"/>
      <c r="B2" s="95"/>
      <c r="C2" s="95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97" t="s">
        <v>43</v>
      </c>
      <c r="E4" s="97"/>
    </row>
    <row r="5" spans="1:6" x14ac:dyDescent="0.25">
      <c r="A5" s="96" t="s">
        <v>21</v>
      </c>
      <c r="B5" s="96"/>
      <c r="C5" s="96"/>
      <c r="D5" s="96"/>
      <c r="E5" s="96"/>
      <c r="F5" s="96"/>
    </row>
    <row r="6" spans="1:6" x14ac:dyDescent="0.25">
      <c r="A6" s="96"/>
      <c r="B6" s="96"/>
      <c r="C6" s="96"/>
      <c r="D6" s="96"/>
      <c r="E6" s="96"/>
      <c r="F6" s="96"/>
    </row>
    <row r="7" spans="1:6" x14ac:dyDescent="0.25">
      <c r="A7" s="7" t="s">
        <v>24</v>
      </c>
    </row>
    <row r="8" spans="1:6" x14ac:dyDescent="0.25">
      <c r="A8" s="94"/>
      <c r="B8" s="7" t="s">
        <v>25</v>
      </c>
    </row>
    <row r="9" spans="1:6" x14ac:dyDescent="0.25">
      <c r="A9" s="94"/>
      <c r="B9" s="7" t="s">
        <v>23</v>
      </c>
    </row>
    <row r="10" spans="1:6" x14ac:dyDescent="0.25">
      <c r="A10" s="94"/>
      <c r="C10" s="7" t="s">
        <v>35</v>
      </c>
    </row>
    <row r="11" spans="1:6" x14ac:dyDescent="0.25">
      <c r="A11" s="94"/>
      <c r="B11" s="7" t="s">
        <v>22</v>
      </c>
      <c r="C11" s="93"/>
    </row>
    <row r="12" spans="1:6" x14ac:dyDescent="0.25">
      <c r="A12" s="94"/>
      <c r="B12" s="7" t="s">
        <v>26</v>
      </c>
      <c r="C12" s="93"/>
    </row>
    <row r="13" spans="1:6" x14ac:dyDescent="0.25">
      <c r="A13" s="94"/>
      <c r="B13" s="7" t="s">
        <v>46</v>
      </c>
      <c r="C13" s="93"/>
    </row>
    <row r="14" spans="1:6" x14ac:dyDescent="0.25">
      <c r="A14" s="7" t="s">
        <v>27</v>
      </c>
      <c r="C14" s="93"/>
    </row>
    <row r="15" spans="1:6" x14ac:dyDescent="0.25">
      <c r="A15" s="94"/>
      <c r="B15" s="7" t="s">
        <v>28</v>
      </c>
      <c r="C15" s="93"/>
    </row>
    <row r="16" spans="1:6" x14ac:dyDescent="0.25">
      <c r="A16" s="94"/>
      <c r="B16" s="93"/>
      <c r="C16" s="18" t="s">
        <v>31</v>
      </c>
    </row>
    <row r="17" spans="1:4" x14ac:dyDescent="0.25">
      <c r="A17" s="94"/>
      <c r="B17" s="93"/>
      <c r="C17" s="93"/>
      <c r="D17" s="9" t="s">
        <v>40</v>
      </c>
    </row>
    <row r="18" spans="1:4" x14ac:dyDescent="0.25">
      <c r="A18" s="94"/>
      <c r="B18" s="93"/>
      <c r="C18" s="93"/>
      <c r="D18" s="9" t="s">
        <v>39</v>
      </c>
    </row>
    <row r="19" spans="1:4" x14ac:dyDescent="0.25">
      <c r="A19" s="94"/>
      <c r="B19" s="93"/>
      <c r="C19" s="93"/>
      <c r="D19" s="18" t="s">
        <v>22</v>
      </c>
    </row>
    <row r="20" spans="1:4" x14ac:dyDescent="0.25">
      <c r="A20" s="94"/>
      <c r="B20" s="93"/>
      <c r="C20" s="18" t="s">
        <v>32</v>
      </c>
    </row>
    <row r="21" spans="1:4" x14ac:dyDescent="0.25">
      <c r="A21" s="94"/>
      <c r="B21" s="93"/>
      <c r="C21" s="93"/>
      <c r="D21" s="9" t="s">
        <v>40</v>
      </c>
    </row>
    <row r="22" spans="1:4" x14ac:dyDescent="0.25">
      <c r="A22" s="94"/>
      <c r="B22" s="93"/>
      <c r="C22" s="93"/>
      <c r="D22" s="9" t="s">
        <v>39</v>
      </c>
    </row>
    <row r="23" spans="1:4" x14ac:dyDescent="0.25">
      <c r="A23" s="94"/>
      <c r="B23" s="93"/>
      <c r="C23" s="93"/>
      <c r="D23" s="18" t="s">
        <v>22</v>
      </c>
    </row>
    <row r="24" spans="1:4" x14ac:dyDescent="0.25">
      <c r="A24" s="94"/>
      <c r="B24" s="7" t="s">
        <v>29</v>
      </c>
      <c r="C24" s="93"/>
      <c r="D24" s="93"/>
    </row>
    <row r="25" spans="1:4" x14ac:dyDescent="0.25">
      <c r="A25" s="94"/>
      <c r="B25" s="93"/>
      <c r="C25" s="7" t="s">
        <v>33</v>
      </c>
      <c r="D25" s="93"/>
    </row>
    <row r="26" spans="1:4" x14ac:dyDescent="0.25">
      <c r="A26" s="94"/>
      <c r="B26" s="93"/>
      <c r="C26" s="93"/>
      <c r="D26" s="9" t="s">
        <v>40</v>
      </c>
    </row>
    <row r="27" spans="1:4" x14ac:dyDescent="0.25">
      <c r="A27" s="94"/>
      <c r="B27" s="93"/>
      <c r="C27" s="93"/>
      <c r="D27" s="7" t="s">
        <v>39</v>
      </c>
    </row>
    <row r="28" spans="1:4" x14ac:dyDescent="0.25">
      <c r="A28" s="94"/>
      <c r="B28" s="93"/>
      <c r="C28" s="93"/>
      <c r="D28" s="18" t="s">
        <v>22</v>
      </c>
    </row>
    <row r="29" spans="1:4" x14ac:dyDescent="0.25">
      <c r="A29" s="94"/>
      <c r="B29" s="93"/>
      <c r="C29" s="7" t="s">
        <v>34</v>
      </c>
    </row>
    <row r="30" spans="1:4" x14ac:dyDescent="0.25">
      <c r="A30" s="94"/>
      <c r="B30" s="93"/>
      <c r="C30" s="93"/>
      <c r="D30" s="7" t="s">
        <v>40</v>
      </c>
    </row>
    <row r="31" spans="1:4" x14ac:dyDescent="0.25">
      <c r="A31" s="94"/>
      <c r="B31" s="93"/>
      <c r="C31" s="93"/>
      <c r="D31" s="7" t="s">
        <v>39</v>
      </c>
    </row>
    <row r="32" spans="1:4" x14ac:dyDescent="0.25">
      <c r="A32" s="94"/>
      <c r="B32" s="93"/>
      <c r="C32" s="93"/>
      <c r="D32" s="7" t="s">
        <v>22</v>
      </c>
    </row>
    <row r="33" spans="1:4" x14ac:dyDescent="0.25">
      <c r="A33" s="94"/>
      <c r="B33" s="7" t="s">
        <v>30</v>
      </c>
      <c r="C33" s="93"/>
      <c r="D33" s="93"/>
    </row>
    <row r="34" spans="1:4" x14ac:dyDescent="0.25">
      <c r="A34" s="94"/>
      <c r="B34" s="93"/>
      <c r="C34" s="7" t="s">
        <v>33</v>
      </c>
      <c r="D34" s="93"/>
    </row>
    <row r="35" spans="1:4" x14ac:dyDescent="0.25">
      <c r="A35" s="94"/>
      <c r="B35" s="93"/>
      <c r="C35" s="98"/>
      <c r="D35" s="18" t="s">
        <v>40</v>
      </c>
    </row>
    <row r="36" spans="1:4" x14ac:dyDescent="0.25">
      <c r="A36" s="94"/>
      <c r="B36" s="93"/>
      <c r="C36" s="98"/>
      <c r="D36" s="7" t="s">
        <v>39</v>
      </c>
    </row>
    <row r="37" spans="1:4" x14ac:dyDescent="0.25">
      <c r="A37" s="94"/>
      <c r="B37" s="93"/>
      <c r="C37" s="98"/>
      <c r="D37" s="18" t="s">
        <v>22</v>
      </c>
    </row>
    <row r="38" spans="1:4" x14ac:dyDescent="0.25">
      <c r="A38" s="94"/>
      <c r="B38" s="93"/>
      <c r="C38" s="6" t="s">
        <v>34</v>
      </c>
    </row>
    <row r="39" spans="1:4" x14ac:dyDescent="0.25">
      <c r="A39" s="94"/>
      <c r="B39" s="93"/>
      <c r="C39" s="93"/>
      <c r="D39" s="6" t="s">
        <v>40</v>
      </c>
    </row>
    <row r="40" spans="1:4" x14ac:dyDescent="0.25">
      <c r="A40" s="94"/>
      <c r="B40" s="93"/>
      <c r="C40" s="93"/>
      <c r="D40" s="6" t="s">
        <v>39</v>
      </c>
    </row>
    <row r="41" spans="1:4" x14ac:dyDescent="0.25">
      <c r="A41" s="94"/>
      <c r="B41" s="93"/>
      <c r="C41" s="93"/>
      <c r="D41" s="6" t="s">
        <v>22</v>
      </c>
    </row>
    <row r="42" spans="1:4" x14ac:dyDescent="0.25">
      <c r="A42" s="7" t="s">
        <v>36</v>
      </c>
      <c r="B42" s="93"/>
      <c r="C42" s="93"/>
    </row>
    <row r="43" spans="1:4" x14ac:dyDescent="0.25">
      <c r="B43" s="7" t="s">
        <v>37</v>
      </c>
      <c r="C43" s="93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9" t="s">
        <v>1</v>
      </c>
      <c r="C1" s="99"/>
      <c r="D1" s="99"/>
      <c r="E1" s="99"/>
      <c r="F1" s="100" t="s">
        <v>16</v>
      </c>
      <c r="G1" s="100"/>
      <c r="H1" s="100"/>
      <c r="I1" s="100"/>
      <c r="J1" s="100"/>
      <c r="K1" s="100"/>
      <c r="L1" s="54" t="s">
        <v>126</v>
      </c>
      <c r="M1" s="101" t="s">
        <v>292</v>
      </c>
      <c r="N1" s="101"/>
      <c r="O1" s="101"/>
      <c r="P1" s="101"/>
      <c r="Q1" s="101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02" t="s">
        <v>119</v>
      </c>
      <c r="B1" s="102"/>
      <c r="C1" s="102"/>
      <c r="D1" s="102"/>
      <c r="H1" s="102" t="s">
        <v>124</v>
      </c>
      <c r="I1" s="102"/>
      <c r="J1" s="102"/>
      <c r="K1" s="102"/>
      <c r="L1" s="102"/>
    </row>
    <row r="2" spans="1:12" x14ac:dyDescent="0.25">
      <c r="A2" s="102"/>
      <c r="B2" s="102"/>
      <c r="C2" s="102"/>
      <c r="D2" s="102"/>
      <c r="H2" s="102"/>
      <c r="I2" s="102"/>
      <c r="J2" s="102"/>
      <c r="K2" s="102"/>
      <c r="L2" s="102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15</v>
      </c>
      <c r="C4" s="42">
        <f>B4/B7</f>
        <v>0.4838709677419355</v>
      </c>
      <c r="H4" s="27" t="s">
        <v>61</v>
      </c>
      <c r="I4" s="46">
        <f>COUNTIF(Checklist!D2:D1048576,"Completed")</f>
        <v>118</v>
      </c>
      <c r="J4" s="51">
        <f>I4/I8</f>
        <v>0.7814569536423841</v>
      </c>
    </row>
    <row r="5" spans="1:12" x14ac:dyDescent="0.25">
      <c r="A5" s="25" t="s">
        <v>85</v>
      </c>
      <c r="B5" s="40">
        <f>COUNTIF(Planning!M3:M1048576,"No")</f>
        <v>5</v>
      </c>
      <c r="C5" s="44">
        <f>B5/B7</f>
        <v>0.16129032258064516</v>
      </c>
      <c r="H5" s="27" t="s">
        <v>65</v>
      </c>
      <c r="I5" s="47">
        <f>COUNTIF(Checklist!D2:D1048576,"Not Started")</f>
        <v>23</v>
      </c>
      <c r="J5" s="52">
        <f>I5/I8</f>
        <v>0.15231788079470199</v>
      </c>
    </row>
    <row r="6" spans="1:12" x14ac:dyDescent="0.25">
      <c r="A6" s="25" t="s">
        <v>109</v>
      </c>
      <c r="B6" s="41">
        <f>COUNTIF(Planning!M3:M1048576,"Some")</f>
        <v>11</v>
      </c>
      <c r="C6" s="43">
        <f>B6/B7</f>
        <v>0.35483870967741937</v>
      </c>
      <c r="H6" s="27" t="s">
        <v>123</v>
      </c>
      <c r="I6" s="48">
        <f>COUNTIF(Checklist!D2:D1048576,"working")</f>
        <v>7</v>
      </c>
      <c r="J6" s="50">
        <f>I6/I8</f>
        <v>4.6357615894039736E-2</v>
      </c>
    </row>
    <row r="7" spans="1:12" x14ac:dyDescent="0.25">
      <c r="A7" s="38" t="s">
        <v>122</v>
      </c>
      <c r="B7">
        <f>SUM(B4:B6)</f>
        <v>31</v>
      </c>
      <c r="H7" s="27" t="s">
        <v>125</v>
      </c>
      <c r="I7" s="49">
        <f>COUNTIF(Checklist!D2:D1048576,"Fixing")</f>
        <v>3</v>
      </c>
      <c r="J7" s="53">
        <f>I7/I8</f>
        <v>1.9867549668874173E-2</v>
      </c>
    </row>
    <row r="8" spans="1:12" x14ac:dyDescent="0.25">
      <c r="H8" s="38" t="s">
        <v>122</v>
      </c>
      <c r="I8" s="45">
        <f>SUM(I4:I7)</f>
        <v>151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topLeftCell="F1" workbookViewId="0">
      <pane ySplit="2" topLeftCell="A33" activePane="bottomLeft" state="frozen"/>
      <selection pane="bottomLeft" activeCell="L34" sqref="L34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03" t="s">
        <v>13</v>
      </c>
      <c r="B1" s="103"/>
      <c r="C1" s="103"/>
      <c r="D1" s="103"/>
      <c r="E1" s="103"/>
      <c r="F1" s="103"/>
      <c r="G1" s="103"/>
      <c r="H1" s="103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104" t="s">
        <v>199</v>
      </c>
      <c r="C15" s="104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6" t="s">
        <v>306</v>
      </c>
      <c r="J26" s="70" t="s">
        <v>297</v>
      </c>
      <c r="K26" s="60" t="s">
        <v>333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6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>
      <c r="F30" s="87" t="s">
        <v>340</v>
      </c>
      <c r="J30" s="70">
        <v>42378</v>
      </c>
      <c r="K30" s="60">
        <v>42438</v>
      </c>
      <c r="L30" s="35" t="s">
        <v>338</v>
      </c>
      <c r="M30" s="25" t="s">
        <v>97</v>
      </c>
    </row>
    <row r="31" spans="3:13" ht="62.25" customHeight="1" x14ac:dyDescent="0.25">
      <c r="C31" s="30" t="s">
        <v>351</v>
      </c>
      <c r="E31" s="105" t="s">
        <v>351</v>
      </c>
      <c r="F31" s="105"/>
      <c r="H31" s="30" t="s">
        <v>351</v>
      </c>
      <c r="J31" s="70">
        <v>42469</v>
      </c>
      <c r="L31" s="35" t="s">
        <v>350</v>
      </c>
      <c r="M31" s="25" t="s">
        <v>85</v>
      </c>
    </row>
    <row r="32" spans="3:13" ht="62.25" customHeight="1" x14ac:dyDescent="0.25">
      <c r="E32" s="89" t="s">
        <v>367</v>
      </c>
      <c r="J32" s="70">
        <v>42499</v>
      </c>
      <c r="K32" s="60">
        <v>42499</v>
      </c>
      <c r="L32" s="35" t="s">
        <v>366</v>
      </c>
      <c r="M32" s="25" t="s">
        <v>109</v>
      </c>
    </row>
    <row r="33" spans="3:13" ht="62.25" customHeight="1" x14ac:dyDescent="0.25">
      <c r="C33" s="91" t="s">
        <v>371</v>
      </c>
      <c r="E33" s="91" t="s">
        <v>372</v>
      </c>
      <c r="J33" s="70">
        <v>42530</v>
      </c>
      <c r="L33" s="35" t="s">
        <v>370</v>
      </c>
      <c r="M33" s="25" t="s">
        <v>85</v>
      </c>
    </row>
    <row r="34" spans="3:13" ht="62.25" customHeight="1" x14ac:dyDescent="0.25">
      <c r="I34" s="92" t="s">
        <v>380</v>
      </c>
      <c r="J34" s="70">
        <v>42591</v>
      </c>
      <c r="L34" s="35" t="s">
        <v>382</v>
      </c>
    </row>
    <row r="35" spans="3:13" ht="62.25" customHeight="1" x14ac:dyDescent="0.25"/>
    <row r="36" spans="3:13" ht="62.25" customHeight="1" x14ac:dyDescent="0.25"/>
    <row r="37" spans="3:13" ht="62.25" customHeight="1" x14ac:dyDescent="0.25"/>
  </sheetData>
  <mergeCells count="3">
    <mergeCell ref="A1:H1"/>
    <mergeCell ref="B15:C15"/>
    <mergeCell ref="E31:F31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53"/>
  <sheetViews>
    <sheetView tabSelected="1" workbookViewId="0">
      <pane xSplit="1" ySplit="2" topLeftCell="B145" activePane="bottomRight" state="frozen"/>
      <selection pane="topRight" activeCell="B1" sqref="B1"/>
      <selection pane="bottomLeft" activeCell="A3" sqref="A3"/>
      <selection pane="bottomRight" activeCell="G153" sqref="G153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15" t="s">
        <v>53</v>
      </c>
      <c r="B3" s="114" t="s">
        <v>59</v>
      </c>
      <c r="C3" s="13" t="s">
        <v>75</v>
      </c>
      <c r="D3" s="27" t="s">
        <v>61</v>
      </c>
      <c r="E3" s="113" t="s">
        <v>71</v>
      </c>
    </row>
    <row r="4" spans="1:6" ht="12" customHeight="1" x14ac:dyDescent="0.2">
      <c r="A4" s="115"/>
      <c r="B4" s="114"/>
      <c r="C4" s="13" t="s">
        <v>62</v>
      </c>
      <c r="D4" s="27" t="s">
        <v>61</v>
      </c>
      <c r="E4" s="113"/>
    </row>
    <row r="5" spans="1:6" ht="12" customHeight="1" x14ac:dyDescent="0.2">
      <c r="A5" s="115"/>
      <c r="B5" s="114"/>
      <c r="C5" s="13" t="s">
        <v>63</v>
      </c>
      <c r="D5" s="27" t="s">
        <v>61</v>
      </c>
      <c r="E5" s="113"/>
    </row>
    <row r="6" spans="1:6" ht="12" customHeight="1" x14ac:dyDescent="0.2">
      <c r="A6" s="115"/>
      <c r="B6" s="114"/>
      <c r="C6" s="13" t="s">
        <v>64</v>
      </c>
      <c r="D6" s="27" t="s">
        <v>61</v>
      </c>
      <c r="E6" s="113"/>
    </row>
    <row r="7" spans="1:6" ht="12" customHeight="1" x14ac:dyDescent="0.2">
      <c r="A7" s="115"/>
      <c r="B7" s="114"/>
      <c r="C7" s="13" t="s">
        <v>72</v>
      </c>
      <c r="D7" s="27" t="s">
        <v>61</v>
      </c>
      <c r="E7" s="113"/>
    </row>
    <row r="8" spans="1:6" ht="12" customHeight="1" x14ac:dyDescent="0.2">
      <c r="A8" s="115"/>
      <c r="B8" s="114"/>
      <c r="C8" s="13" t="s">
        <v>67</v>
      </c>
      <c r="D8" s="27" t="s">
        <v>61</v>
      </c>
      <c r="E8" s="113"/>
    </row>
    <row r="9" spans="1:6" ht="12" customHeight="1" x14ac:dyDescent="0.2">
      <c r="A9" s="115"/>
      <c r="B9" s="114"/>
      <c r="C9" s="13" t="s">
        <v>66</v>
      </c>
      <c r="D9" s="27" t="s">
        <v>61</v>
      </c>
      <c r="E9" s="113"/>
    </row>
    <row r="10" spans="1:6" ht="15" customHeight="1" x14ac:dyDescent="0.2">
      <c r="A10" s="115"/>
      <c r="B10" s="114"/>
      <c r="C10" s="13" t="s">
        <v>73</v>
      </c>
      <c r="D10" s="27" t="s">
        <v>61</v>
      </c>
      <c r="E10" s="113"/>
    </row>
    <row r="11" spans="1:6" x14ac:dyDescent="0.2">
      <c r="A11" s="115"/>
      <c r="B11" s="66" t="s">
        <v>90</v>
      </c>
      <c r="C11" s="13" t="s">
        <v>74</v>
      </c>
      <c r="D11" s="27" t="s">
        <v>61</v>
      </c>
      <c r="E11" s="113"/>
    </row>
    <row r="12" spans="1:6" x14ac:dyDescent="0.2">
      <c r="A12" s="115" t="s">
        <v>59</v>
      </c>
      <c r="C12" s="13" t="s">
        <v>91</v>
      </c>
      <c r="D12" s="27" t="s">
        <v>65</v>
      </c>
      <c r="E12" s="113" t="s">
        <v>87</v>
      </c>
    </row>
    <row r="13" spans="1:6" ht="24" x14ac:dyDescent="0.2">
      <c r="A13" s="115"/>
      <c r="B13" s="67" t="s">
        <v>225</v>
      </c>
      <c r="C13" s="13" t="s">
        <v>92</v>
      </c>
      <c r="D13" s="27" t="s">
        <v>61</v>
      </c>
      <c r="E13" s="113"/>
    </row>
    <row r="14" spans="1:6" ht="24" x14ac:dyDescent="0.2">
      <c r="A14" s="115" t="s">
        <v>90</v>
      </c>
      <c r="B14" s="67">
        <v>42621</v>
      </c>
      <c r="C14" s="13" t="s">
        <v>127</v>
      </c>
      <c r="D14" s="27" t="s">
        <v>61</v>
      </c>
      <c r="E14" s="113" t="s">
        <v>93</v>
      </c>
    </row>
    <row r="15" spans="1:6" ht="24" x14ac:dyDescent="0.2">
      <c r="A15" s="115"/>
      <c r="C15" s="13" t="s">
        <v>94</v>
      </c>
      <c r="D15" s="27" t="s">
        <v>65</v>
      </c>
      <c r="E15" s="113"/>
    </row>
    <row r="16" spans="1:6" x14ac:dyDescent="0.2">
      <c r="A16" s="115"/>
      <c r="C16" s="13" t="s">
        <v>99</v>
      </c>
      <c r="D16" s="27" t="s">
        <v>65</v>
      </c>
      <c r="E16" s="113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17" t="s">
        <v>112</v>
      </c>
      <c r="B18" s="67">
        <v>42712</v>
      </c>
      <c r="C18" s="13" t="s">
        <v>113</v>
      </c>
      <c r="D18" s="27" t="s">
        <v>61</v>
      </c>
      <c r="E18" s="107" t="s">
        <v>116</v>
      </c>
    </row>
    <row r="19" spans="1:5" x14ac:dyDescent="0.2">
      <c r="A19" s="117"/>
      <c r="B19" s="67" t="s">
        <v>112</v>
      </c>
      <c r="C19" s="13" t="s">
        <v>114</v>
      </c>
      <c r="D19" s="27" t="s">
        <v>61</v>
      </c>
      <c r="E19" s="107"/>
    </row>
    <row r="20" spans="1:5" x14ac:dyDescent="0.2">
      <c r="A20" s="117"/>
      <c r="B20" s="67" t="s">
        <v>118</v>
      </c>
      <c r="C20" s="13" t="s">
        <v>115</v>
      </c>
      <c r="D20" s="27" t="s">
        <v>61</v>
      </c>
      <c r="E20" s="107"/>
    </row>
    <row r="21" spans="1:5" x14ac:dyDescent="0.2">
      <c r="A21" s="108" t="s">
        <v>128</v>
      </c>
      <c r="C21" s="13" t="s">
        <v>129</v>
      </c>
      <c r="D21" s="27" t="s">
        <v>65</v>
      </c>
      <c r="E21" s="107" t="s">
        <v>132</v>
      </c>
    </row>
    <row r="22" spans="1:5" x14ac:dyDescent="0.2">
      <c r="A22" s="108"/>
      <c r="C22" s="13" t="s">
        <v>130</v>
      </c>
      <c r="D22" s="27" t="s">
        <v>65</v>
      </c>
      <c r="E22" s="107"/>
    </row>
    <row r="23" spans="1:5" ht="15" customHeight="1" x14ac:dyDescent="0.2">
      <c r="A23" s="108" t="s">
        <v>134</v>
      </c>
      <c r="B23" s="106" t="s">
        <v>134</v>
      </c>
      <c r="C23" s="13" t="s">
        <v>136</v>
      </c>
      <c r="D23" s="27" t="s">
        <v>61</v>
      </c>
      <c r="E23" s="107" t="s">
        <v>138</v>
      </c>
    </row>
    <row r="24" spans="1:5" ht="15" customHeight="1" x14ac:dyDescent="0.2">
      <c r="A24" s="108"/>
      <c r="B24" s="106"/>
      <c r="C24" s="13" t="s">
        <v>137</v>
      </c>
      <c r="D24" s="27" t="s">
        <v>61</v>
      </c>
      <c r="E24" s="107"/>
    </row>
    <row r="25" spans="1:5" ht="15" customHeight="1" x14ac:dyDescent="0.2">
      <c r="A25" s="108"/>
      <c r="B25" s="106"/>
      <c r="C25" s="13" t="s">
        <v>141</v>
      </c>
      <c r="D25" s="27" t="s">
        <v>61</v>
      </c>
      <c r="E25" s="107"/>
    </row>
    <row r="26" spans="1:5" ht="12" customHeight="1" x14ac:dyDescent="0.2">
      <c r="A26" s="118">
        <v>42588</v>
      </c>
      <c r="B26" s="112">
        <v>42588</v>
      </c>
      <c r="C26" s="58" t="s">
        <v>145</v>
      </c>
      <c r="D26" s="59" t="s">
        <v>61</v>
      </c>
      <c r="E26" s="120" t="s">
        <v>146</v>
      </c>
    </row>
    <row r="27" spans="1:5" ht="12" customHeight="1" x14ac:dyDescent="0.2">
      <c r="A27" s="119"/>
      <c r="B27" s="112"/>
      <c r="C27" s="58" t="s">
        <v>147</v>
      </c>
      <c r="D27" s="59" t="s">
        <v>61</v>
      </c>
      <c r="E27" s="121"/>
    </row>
    <row r="28" spans="1:5" ht="15" customHeight="1" x14ac:dyDescent="0.2">
      <c r="A28" s="119"/>
      <c r="B28" s="112"/>
      <c r="C28" s="58" t="s">
        <v>148</v>
      </c>
      <c r="D28" s="59" t="s">
        <v>61</v>
      </c>
      <c r="E28" s="121"/>
    </row>
    <row r="29" spans="1:5" ht="15" customHeight="1" x14ac:dyDescent="0.2">
      <c r="A29" s="119"/>
      <c r="B29" s="112"/>
      <c r="C29" s="58" t="s">
        <v>149</v>
      </c>
      <c r="D29" s="59" t="s">
        <v>61</v>
      </c>
      <c r="E29" s="121"/>
    </row>
    <row r="30" spans="1:5" ht="24" x14ac:dyDescent="0.2">
      <c r="A30" s="108">
        <v>42621</v>
      </c>
      <c r="B30" s="67">
        <v>42712</v>
      </c>
      <c r="C30" s="13" t="s">
        <v>152</v>
      </c>
      <c r="D30" s="27" t="s">
        <v>61</v>
      </c>
      <c r="E30" s="107" t="s">
        <v>153</v>
      </c>
    </row>
    <row r="31" spans="1:5" ht="24" x14ac:dyDescent="0.2">
      <c r="A31" s="108"/>
      <c r="B31" s="67">
        <v>42712</v>
      </c>
      <c r="C31" s="13" t="s">
        <v>155</v>
      </c>
      <c r="D31" s="27" t="s">
        <v>61</v>
      </c>
      <c r="E31" s="107"/>
    </row>
    <row r="32" spans="1:5" ht="15" customHeight="1" x14ac:dyDescent="0.2">
      <c r="A32" s="108">
        <v>42651</v>
      </c>
      <c r="B32" s="106">
        <v>42651</v>
      </c>
      <c r="C32" s="13" t="s">
        <v>180</v>
      </c>
      <c r="D32" s="59" t="s">
        <v>61</v>
      </c>
      <c r="E32" s="111" t="s">
        <v>156</v>
      </c>
    </row>
    <row r="33" spans="1:6" ht="15" customHeight="1" x14ac:dyDescent="0.2">
      <c r="A33" s="108"/>
      <c r="B33" s="106"/>
      <c r="C33" s="13" t="s">
        <v>179</v>
      </c>
      <c r="D33" s="59" t="s">
        <v>61</v>
      </c>
      <c r="E33" s="111"/>
    </row>
    <row r="34" spans="1:6" ht="15" customHeight="1" x14ac:dyDescent="0.2">
      <c r="A34" s="108"/>
      <c r="B34" s="106"/>
      <c r="C34" s="13" t="s">
        <v>181</v>
      </c>
      <c r="D34" s="59" t="s">
        <v>61</v>
      </c>
      <c r="E34" s="111"/>
    </row>
    <row r="35" spans="1:6" ht="15" customHeight="1" x14ac:dyDescent="0.2">
      <c r="A35" s="108"/>
      <c r="B35" s="106"/>
      <c r="C35" s="13" t="s">
        <v>158</v>
      </c>
      <c r="D35" s="59" t="s">
        <v>61</v>
      </c>
      <c r="E35" s="111"/>
      <c r="F35" s="109" t="s">
        <v>178</v>
      </c>
    </row>
    <row r="36" spans="1:6" ht="20.25" customHeight="1" x14ac:dyDescent="0.2">
      <c r="A36" s="108"/>
      <c r="B36" s="106"/>
      <c r="C36" s="13" t="s">
        <v>159</v>
      </c>
      <c r="D36" s="59" t="s">
        <v>61</v>
      </c>
      <c r="E36" s="111"/>
      <c r="F36" s="110"/>
    </row>
    <row r="37" spans="1:6" ht="15" customHeight="1" x14ac:dyDescent="0.2">
      <c r="A37" s="108"/>
      <c r="B37" s="106"/>
      <c r="C37" s="13" t="s">
        <v>160</v>
      </c>
      <c r="D37" s="27" t="s">
        <v>61</v>
      </c>
      <c r="E37" s="111"/>
    </row>
    <row r="38" spans="1:6" ht="15" customHeight="1" x14ac:dyDescent="0.2">
      <c r="A38" s="108"/>
      <c r="B38" s="106"/>
      <c r="C38" s="13" t="s">
        <v>161</v>
      </c>
      <c r="D38" s="27" t="s">
        <v>61</v>
      </c>
      <c r="E38" s="111"/>
    </row>
    <row r="39" spans="1:6" x14ac:dyDescent="0.2">
      <c r="A39" s="108"/>
      <c r="C39" s="13" t="s">
        <v>165</v>
      </c>
      <c r="D39" s="27" t="s">
        <v>65</v>
      </c>
      <c r="E39" s="111"/>
    </row>
    <row r="40" spans="1:6" x14ac:dyDescent="0.2">
      <c r="A40" s="108"/>
      <c r="B40" s="67" t="s">
        <v>186</v>
      </c>
      <c r="C40" s="13" t="s">
        <v>164</v>
      </c>
      <c r="D40" s="27" t="s">
        <v>61</v>
      </c>
      <c r="E40" s="111"/>
    </row>
    <row r="41" spans="1:6" ht="15" customHeight="1" x14ac:dyDescent="0.2">
      <c r="A41" s="108"/>
      <c r="B41" s="106" t="s">
        <v>196</v>
      </c>
      <c r="C41" s="13" t="s">
        <v>162</v>
      </c>
      <c r="D41" s="27" t="s">
        <v>61</v>
      </c>
      <c r="E41" s="111"/>
    </row>
    <row r="42" spans="1:6" ht="15" customHeight="1" x14ac:dyDescent="0.2">
      <c r="A42" s="108"/>
      <c r="B42" s="106"/>
      <c r="C42" s="13" t="s">
        <v>163</v>
      </c>
      <c r="D42" s="27" t="s">
        <v>61</v>
      </c>
      <c r="E42" s="111"/>
    </row>
    <row r="43" spans="1:6" x14ac:dyDescent="0.2">
      <c r="A43" s="108"/>
      <c r="C43" s="13" t="s">
        <v>168</v>
      </c>
      <c r="D43" s="27" t="s">
        <v>123</v>
      </c>
      <c r="E43" s="111"/>
    </row>
    <row r="44" spans="1:6" x14ac:dyDescent="0.2">
      <c r="A44" s="108"/>
      <c r="C44" s="13" t="s">
        <v>169</v>
      </c>
      <c r="D44" s="27" t="s">
        <v>123</v>
      </c>
      <c r="E44" s="111"/>
    </row>
    <row r="45" spans="1:6" x14ac:dyDescent="0.2">
      <c r="A45" s="108"/>
      <c r="B45" s="67">
        <v>42712</v>
      </c>
      <c r="C45" s="13" t="s">
        <v>171</v>
      </c>
      <c r="D45" s="27" t="s">
        <v>61</v>
      </c>
      <c r="E45" s="111"/>
    </row>
    <row r="46" spans="1:6" x14ac:dyDescent="0.2">
      <c r="A46" s="108">
        <v>42712</v>
      </c>
      <c r="C46" s="13" t="s">
        <v>172</v>
      </c>
      <c r="D46" s="27" t="s">
        <v>123</v>
      </c>
      <c r="E46" s="107" t="s">
        <v>173</v>
      </c>
    </row>
    <row r="47" spans="1:6" x14ac:dyDescent="0.2">
      <c r="A47" s="108"/>
      <c r="C47" s="13" t="s">
        <v>175</v>
      </c>
      <c r="D47" s="27" t="s">
        <v>123</v>
      </c>
      <c r="E47" s="107"/>
    </row>
    <row r="48" spans="1:6" ht="24" x14ac:dyDescent="0.2">
      <c r="A48" s="108"/>
      <c r="B48" s="106">
        <v>42712</v>
      </c>
      <c r="C48" s="13" t="s">
        <v>176</v>
      </c>
      <c r="D48" s="27" t="s">
        <v>61</v>
      </c>
      <c r="E48" s="107"/>
    </row>
    <row r="49" spans="1:5" ht="15" customHeight="1" x14ac:dyDescent="0.2">
      <c r="A49" s="108"/>
      <c r="B49" s="106"/>
      <c r="C49" s="13" t="s">
        <v>182</v>
      </c>
      <c r="D49" s="27" t="s">
        <v>61</v>
      </c>
      <c r="E49" s="107"/>
    </row>
    <row r="50" spans="1:5" ht="15" customHeight="1" x14ac:dyDescent="0.2">
      <c r="A50" s="108"/>
      <c r="B50" s="106"/>
      <c r="C50" s="13" t="s">
        <v>183</v>
      </c>
      <c r="D50" s="27" t="s">
        <v>61</v>
      </c>
      <c r="E50" s="107"/>
    </row>
    <row r="51" spans="1:5" ht="15" customHeight="1" x14ac:dyDescent="0.2">
      <c r="A51" s="108"/>
      <c r="B51" s="106"/>
      <c r="C51" s="13" t="s">
        <v>182</v>
      </c>
      <c r="D51" s="27" t="s">
        <v>61</v>
      </c>
      <c r="E51" s="107"/>
    </row>
    <row r="52" spans="1:5" ht="15" customHeight="1" x14ac:dyDescent="0.2">
      <c r="A52" s="108"/>
      <c r="B52" s="106"/>
      <c r="C52" s="13" t="s">
        <v>183</v>
      </c>
      <c r="D52" s="27" t="s">
        <v>61</v>
      </c>
      <c r="E52" s="107"/>
    </row>
    <row r="53" spans="1:5" ht="15" customHeight="1" x14ac:dyDescent="0.2">
      <c r="A53" s="108"/>
      <c r="B53" s="106"/>
      <c r="C53" s="13" t="s">
        <v>184</v>
      </c>
      <c r="D53" s="27" t="s">
        <v>61</v>
      </c>
      <c r="E53" s="107"/>
    </row>
    <row r="54" spans="1:5" ht="24" x14ac:dyDescent="0.2">
      <c r="A54" s="108" t="s">
        <v>190</v>
      </c>
      <c r="B54" s="71" t="s">
        <v>186</v>
      </c>
      <c r="C54" s="13" t="s">
        <v>188</v>
      </c>
      <c r="D54" s="27" t="s">
        <v>61</v>
      </c>
      <c r="E54" s="107" t="s">
        <v>220</v>
      </c>
    </row>
    <row r="55" spans="1:5" ht="15" customHeight="1" x14ac:dyDescent="0.2">
      <c r="A55" s="108"/>
      <c r="B55" s="73" t="s">
        <v>212</v>
      </c>
      <c r="C55" s="13" t="s">
        <v>189</v>
      </c>
      <c r="D55" s="27" t="s">
        <v>61</v>
      </c>
      <c r="E55" s="107"/>
    </row>
    <row r="56" spans="1:5" ht="15" customHeight="1" x14ac:dyDescent="0.2">
      <c r="A56" s="108"/>
      <c r="B56" s="106" t="s">
        <v>186</v>
      </c>
      <c r="C56" s="13" t="s">
        <v>191</v>
      </c>
      <c r="D56" s="27" t="s">
        <v>61</v>
      </c>
      <c r="E56" s="107"/>
    </row>
    <row r="57" spans="1:5" ht="15" customHeight="1" x14ac:dyDescent="0.2">
      <c r="A57" s="108"/>
      <c r="B57" s="106"/>
      <c r="C57" s="13" t="s">
        <v>192</v>
      </c>
      <c r="D57" s="27" t="s">
        <v>61</v>
      </c>
      <c r="E57" s="107"/>
    </row>
    <row r="58" spans="1:5" ht="15" customHeight="1" x14ac:dyDescent="0.2">
      <c r="A58" s="108"/>
      <c r="B58" s="106"/>
      <c r="C58" s="13" t="s">
        <v>193</v>
      </c>
      <c r="D58" s="27" t="s">
        <v>61</v>
      </c>
      <c r="E58" s="107"/>
    </row>
    <row r="59" spans="1:5" ht="15" customHeight="1" x14ac:dyDescent="0.2">
      <c r="A59" s="108"/>
      <c r="B59" s="106"/>
      <c r="C59" s="13" t="s">
        <v>195</v>
      </c>
      <c r="D59" s="27" t="s">
        <v>61</v>
      </c>
      <c r="E59" s="107"/>
    </row>
    <row r="60" spans="1:5" ht="15" customHeight="1" x14ac:dyDescent="0.2">
      <c r="A60" s="108"/>
      <c r="B60" s="106"/>
      <c r="C60" s="13" t="s">
        <v>194</v>
      </c>
      <c r="D60" s="27" t="s">
        <v>61</v>
      </c>
      <c r="E60" s="107"/>
    </row>
    <row r="61" spans="1:5" ht="15" customHeight="1" x14ac:dyDescent="0.2">
      <c r="A61" s="108" t="s">
        <v>196</v>
      </c>
      <c r="B61" s="106" t="s">
        <v>196</v>
      </c>
      <c r="C61" s="13" t="s">
        <v>202</v>
      </c>
      <c r="D61" s="27" t="s">
        <v>61</v>
      </c>
      <c r="E61" s="107" t="s">
        <v>197</v>
      </c>
    </row>
    <row r="62" spans="1:5" ht="15" customHeight="1" x14ac:dyDescent="0.2">
      <c r="A62" s="108"/>
      <c r="B62" s="106"/>
      <c r="C62" s="13" t="s">
        <v>201</v>
      </c>
      <c r="D62" s="27" t="s">
        <v>61</v>
      </c>
      <c r="E62" s="107"/>
    </row>
    <row r="63" spans="1:5" ht="15" customHeight="1" x14ac:dyDescent="0.2">
      <c r="A63" s="108"/>
      <c r="B63" s="106"/>
      <c r="C63" s="13" t="s">
        <v>203</v>
      </c>
      <c r="D63" s="27" t="s">
        <v>61</v>
      </c>
      <c r="E63" s="107"/>
    </row>
    <row r="64" spans="1:5" x14ac:dyDescent="0.2">
      <c r="A64" s="108"/>
      <c r="B64" s="67" t="s">
        <v>235</v>
      </c>
      <c r="C64" s="13" t="s">
        <v>204</v>
      </c>
      <c r="D64" s="27" t="s">
        <v>61</v>
      </c>
      <c r="E64" s="107"/>
    </row>
    <row r="65" spans="1:5" ht="15" customHeight="1" x14ac:dyDescent="0.2">
      <c r="A65" s="108"/>
      <c r="B65" s="106" t="s">
        <v>196</v>
      </c>
      <c r="C65" s="13" t="s">
        <v>208</v>
      </c>
      <c r="D65" s="27" t="s">
        <v>61</v>
      </c>
      <c r="E65" s="107"/>
    </row>
    <row r="66" spans="1:5" ht="15" customHeight="1" x14ac:dyDescent="0.2">
      <c r="A66" s="108"/>
      <c r="B66" s="106"/>
      <c r="C66" s="13" t="s">
        <v>205</v>
      </c>
      <c r="D66" s="27" t="s">
        <v>61</v>
      </c>
      <c r="E66" s="107"/>
    </row>
    <row r="67" spans="1:5" x14ac:dyDescent="0.2">
      <c r="A67" s="108"/>
      <c r="B67" s="67" t="s">
        <v>235</v>
      </c>
      <c r="C67" s="13" t="s">
        <v>206</v>
      </c>
      <c r="D67" s="27" t="s">
        <v>61</v>
      </c>
      <c r="E67" s="107"/>
    </row>
    <row r="68" spans="1:5" x14ac:dyDescent="0.2">
      <c r="A68" s="108"/>
      <c r="B68" s="67" t="s">
        <v>196</v>
      </c>
      <c r="C68" s="13" t="s">
        <v>207</v>
      </c>
      <c r="D68" s="27" t="s">
        <v>61</v>
      </c>
      <c r="E68" s="107"/>
    </row>
    <row r="69" spans="1:5" ht="24" x14ac:dyDescent="0.2">
      <c r="A69" s="108"/>
      <c r="B69" s="67" t="s">
        <v>254</v>
      </c>
      <c r="C69" s="72" t="s">
        <v>209</v>
      </c>
      <c r="D69" s="27" t="s">
        <v>61</v>
      </c>
      <c r="E69" s="107"/>
    </row>
    <row r="70" spans="1:5" x14ac:dyDescent="0.2">
      <c r="A70" s="108"/>
      <c r="C70" s="13" t="s">
        <v>210</v>
      </c>
      <c r="D70" s="27" t="s">
        <v>125</v>
      </c>
      <c r="E70" s="107"/>
    </row>
    <row r="71" spans="1:5" ht="24" x14ac:dyDescent="0.2">
      <c r="A71" s="108"/>
      <c r="C71" s="13" t="s">
        <v>211</v>
      </c>
      <c r="D71" s="27" t="s">
        <v>65</v>
      </c>
      <c r="E71" s="107"/>
    </row>
    <row r="72" spans="1:5" ht="15" customHeight="1" x14ac:dyDescent="0.2">
      <c r="A72" s="108" t="s">
        <v>212</v>
      </c>
      <c r="B72" s="106" t="s">
        <v>225</v>
      </c>
      <c r="C72" s="13" t="s">
        <v>214</v>
      </c>
      <c r="D72" s="27" t="s">
        <v>61</v>
      </c>
      <c r="E72" s="107" t="s">
        <v>218</v>
      </c>
    </row>
    <row r="73" spans="1:5" ht="15" customHeight="1" x14ac:dyDescent="0.2">
      <c r="A73" s="108"/>
      <c r="B73" s="106"/>
      <c r="C73" s="13" t="s">
        <v>215</v>
      </c>
      <c r="D73" s="27" t="s">
        <v>61</v>
      </c>
      <c r="E73" s="107"/>
    </row>
    <row r="74" spans="1:5" ht="15" customHeight="1" x14ac:dyDescent="0.2">
      <c r="A74" s="108"/>
      <c r="B74" s="106"/>
      <c r="C74" s="13" t="s">
        <v>216</v>
      </c>
      <c r="D74" s="27" t="s">
        <v>61</v>
      </c>
      <c r="E74" s="107"/>
    </row>
    <row r="75" spans="1:5" x14ac:dyDescent="0.2">
      <c r="A75" s="108"/>
      <c r="B75" s="67" t="s">
        <v>234</v>
      </c>
      <c r="C75" s="13" t="s">
        <v>217</v>
      </c>
      <c r="D75" s="27" t="s">
        <v>61</v>
      </c>
      <c r="E75" s="107"/>
    </row>
    <row r="76" spans="1:5" x14ac:dyDescent="0.2">
      <c r="A76" s="108"/>
      <c r="C76" s="13" t="s">
        <v>219</v>
      </c>
      <c r="D76" s="27" t="s">
        <v>123</v>
      </c>
      <c r="E76" s="107"/>
    </row>
    <row r="77" spans="1:5" x14ac:dyDescent="0.2">
      <c r="A77" s="108"/>
      <c r="B77" s="67" t="s">
        <v>212</v>
      </c>
      <c r="C77" s="13" t="s">
        <v>223</v>
      </c>
      <c r="D77" s="27" t="s">
        <v>61</v>
      </c>
      <c r="E77" s="107"/>
    </row>
    <row r="78" spans="1:5" ht="24" x14ac:dyDescent="0.2">
      <c r="A78" s="108" t="s">
        <v>225</v>
      </c>
      <c r="B78" s="67" t="s">
        <v>225</v>
      </c>
      <c r="C78" s="13" t="s">
        <v>224</v>
      </c>
      <c r="D78" s="27" t="s">
        <v>61</v>
      </c>
      <c r="E78" s="107" t="s">
        <v>226</v>
      </c>
    </row>
    <row r="79" spans="1:5" x14ac:dyDescent="0.2">
      <c r="A79" s="108"/>
      <c r="C79" s="13" t="s">
        <v>229</v>
      </c>
      <c r="D79" s="27" t="s">
        <v>65</v>
      </c>
      <c r="E79" s="107"/>
    </row>
    <row r="80" spans="1:5" ht="24" x14ac:dyDescent="0.2">
      <c r="A80" s="108"/>
      <c r="B80" s="106" t="s">
        <v>225</v>
      </c>
      <c r="C80" s="13" t="s">
        <v>231</v>
      </c>
      <c r="D80" s="27" t="s">
        <v>61</v>
      </c>
      <c r="E80" s="107"/>
    </row>
    <row r="81" spans="1:5" ht="24" x14ac:dyDescent="0.2">
      <c r="A81" s="108"/>
      <c r="B81" s="106"/>
      <c r="C81" s="13" t="s">
        <v>233</v>
      </c>
      <c r="D81" s="27" t="s">
        <v>61</v>
      </c>
      <c r="E81" s="107"/>
    </row>
    <row r="82" spans="1:5" ht="24" x14ac:dyDescent="0.2">
      <c r="A82" s="108" t="s">
        <v>235</v>
      </c>
      <c r="B82" s="106" t="s">
        <v>242</v>
      </c>
      <c r="C82" s="13" t="s">
        <v>238</v>
      </c>
      <c r="D82" s="27" t="s">
        <v>61</v>
      </c>
      <c r="E82" s="107" t="s">
        <v>237</v>
      </c>
    </row>
    <row r="83" spans="1:5" ht="24" x14ac:dyDescent="0.2">
      <c r="A83" s="108"/>
      <c r="B83" s="106"/>
      <c r="C83" s="13" t="s">
        <v>239</v>
      </c>
      <c r="D83" s="27" t="s">
        <v>61</v>
      </c>
      <c r="E83" s="107"/>
    </row>
    <row r="84" spans="1:5" ht="24" x14ac:dyDescent="0.2">
      <c r="A84" s="108"/>
      <c r="B84" s="67" t="s">
        <v>247</v>
      </c>
      <c r="C84" s="13" t="s">
        <v>240</v>
      </c>
      <c r="D84" s="27" t="s">
        <v>61</v>
      </c>
      <c r="E84" s="107"/>
    </row>
    <row r="85" spans="1:5" ht="24" x14ac:dyDescent="0.2">
      <c r="A85" s="108"/>
      <c r="C85" s="75" t="s">
        <v>271</v>
      </c>
      <c r="D85" s="27" t="s">
        <v>65</v>
      </c>
      <c r="E85" s="107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8" t="s">
        <v>254</v>
      </c>
      <c r="B88" s="106" t="s">
        <v>254</v>
      </c>
      <c r="C88" s="13" t="s">
        <v>256</v>
      </c>
      <c r="D88" s="27" t="s">
        <v>61</v>
      </c>
      <c r="E88" s="107" t="s">
        <v>257</v>
      </c>
    </row>
    <row r="89" spans="1:5" ht="15" customHeight="1" x14ac:dyDescent="0.2">
      <c r="A89" s="108"/>
      <c r="B89" s="106"/>
      <c r="C89" s="13" t="s">
        <v>258</v>
      </c>
      <c r="D89" s="27" t="s">
        <v>61</v>
      </c>
      <c r="E89" s="107"/>
    </row>
    <row r="90" spans="1:5" ht="24" x14ac:dyDescent="0.2">
      <c r="A90" s="108"/>
      <c r="B90" s="106"/>
      <c r="C90" s="13" t="s">
        <v>261</v>
      </c>
      <c r="D90" s="27" t="s">
        <v>61</v>
      </c>
      <c r="E90" s="107"/>
    </row>
    <row r="91" spans="1:5" ht="15" customHeight="1" x14ac:dyDescent="0.2">
      <c r="A91" s="108"/>
      <c r="B91" s="106"/>
      <c r="C91" s="13" t="s">
        <v>260</v>
      </c>
      <c r="D91" s="27" t="s">
        <v>61</v>
      </c>
      <c r="E91" s="107"/>
    </row>
    <row r="92" spans="1:5" ht="24" x14ac:dyDescent="0.2">
      <c r="A92" s="108"/>
      <c r="B92" s="67" t="s">
        <v>265</v>
      </c>
      <c r="C92" s="13" t="s">
        <v>259</v>
      </c>
      <c r="D92" s="27" t="s">
        <v>61</v>
      </c>
      <c r="E92" s="107"/>
    </row>
    <row r="93" spans="1:5" ht="24" x14ac:dyDescent="0.2">
      <c r="A93" s="108"/>
      <c r="B93" s="106" t="s">
        <v>254</v>
      </c>
      <c r="C93" s="13" t="s">
        <v>262</v>
      </c>
      <c r="D93" s="27" t="s">
        <v>61</v>
      </c>
      <c r="E93" s="107"/>
    </row>
    <row r="94" spans="1:5" ht="24" x14ac:dyDescent="0.2">
      <c r="A94" s="108"/>
      <c r="B94" s="106"/>
      <c r="C94" s="13" t="s">
        <v>263</v>
      </c>
      <c r="D94" s="27" t="s">
        <v>61</v>
      </c>
      <c r="E94" s="107"/>
    </row>
    <row r="95" spans="1:5" ht="15" customHeight="1" x14ac:dyDescent="0.2">
      <c r="A95" s="108"/>
      <c r="B95" s="106"/>
      <c r="C95" s="13" t="s">
        <v>264</v>
      </c>
      <c r="D95" s="27" t="s">
        <v>61</v>
      </c>
      <c r="E95" s="107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8" t="s">
        <v>272</v>
      </c>
      <c r="B97" s="106" t="s">
        <v>272</v>
      </c>
      <c r="C97" s="13" t="s">
        <v>273</v>
      </c>
      <c r="D97" s="27" t="s">
        <v>61</v>
      </c>
      <c r="E97" s="107" t="s">
        <v>274</v>
      </c>
    </row>
    <row r="98" spans="1:5" ht="15" customHeight="1" x14ac:dyDescent="0.2">
      <c r="A98" s="108"/>
      <c r="B98" s="106"/>
      <c r="C98" s="13" t="s">
        <v>277</v>
      </c>
      <c r="D98" s="27" t="s">
        <v>61</v>
      </c>
      <c r="E98" s="107"/>
    </row>
    <row r="99" spans="1:5" ht="24" x14ac:dyDescent="0.2">
      <c r="A99" s="108"/>
      <c r="B99" s="67" t="s">
        <v>333</v>
      </c>
      <c r="C99" s="13" t="s">
        <v>278</v>
      </c>
      <c r="D99" s="27" t="s">
        <v>61</v>
      </c>
      <c r="E99" s="107"/>
    </row>
    <row r="100" spans="1:5" x14ac:dyDescent="0.2">
      <c r="A100" s="108" t="s">
        <v>279</v>
      </c>
      <c r="B100" s="67" t="s">
        <v>279</v>
      </c>
      <c r="C100" s="13" t="s">
        <v>281</v>
      </c>
      <c r="D100" s="27" t="s">
        <v>61</v>
      </c>
      <c r="E100" s="107" t="s">
        <v>282</v>
      </c>
    </row>
    <row r="101" spans="1:5" x14ac:dyDescent="0.2">
      <c r="A101" s="108"/>
      <c r="B101" s="67" t="s">
        <v>333</v>
      </c>
      <c r="C101" s="13" t="s">
        <v>284</v>
      </c>
      <c r="D101" s="27" t="s">
        <v>61</v>
      </c>
      <c r="E101" s="107"/>
    </row>
    <row r="102" spans="1:5" x14ac:dyDescent="0.2">
      <c r="A102" s="108"/>
      <c r="C102" s="13" t="s">
        <v>285</v>
      </c>
      <c r="D102" s="27" t="s">
        <v>65</v>
      </c>
      <c r="E102" s="107"/>
    </row>
    <row r="103" spans="1:5" x14ac:dyDescent="0.2">
      <c r="A103" s="108"/>
      <c r="B103" s="67" t="s">
        <v>313</v>
      </c>
      <c r="C103" s="13" t="s">
        <v>286</v>
      </c>
      <c r="D103" s="27" t="s">
        <v>61</v>
      </c>
      <c r="E103" s="107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8" t="s">
        <v>297</v>
      </c>
      <c r="B105" s="106" t="s">
        <v>313</v>
      </c>
      <c r="C105" s="13" t="s">
        <v>312</v>
      </c>
      <c r="D105" s="27" t="s">
        <v>61</v>
      </c>
      <c r="E105" s="107" t="s">
        <v>298</v>
      </c>
    </row>
    <row r="106" spans="1:5" ht="15" customHeight="1" x14ac:dyDescent="0.2">
      <c r="A106" s="108"/>
      <c r="B106" s="106"/>
      <c r="C106" s="13" t="s">
        <v>299</v>
      </c>
      <c r="D106" s="27" t="s">
        <v>61</v>
      </c>
      <c r="E106" s="107"/>
    </row>
    <row r="107" spans="1:5" x14ac:dyDescent="0.2">
      <c r="A107" s="108"/>
      <c r="B107" s="67" t="s">
        <v>333</v>
      </c>
      <c r="C107" s="13" t="s">
        <v>300</v>
      </c>
      <c r="D107" s="27" t="s">
        <v>61</v>
      </c>
      <c r="E107" s="107"/>
    </row>
    <row r="108" spans="1:5" ht="15" customHeight="1" x14ac:dyDescent="0.2">
      <c r="A108" s="108"/>
      <c r="B108" s="106" t="s">
        <v>313</v>
      </c>
      <c r="C108" s="13" t="s">
        <v>301</v>
      </c>
      <c r="D108" s="27" t="s">
        <v>61</v>
      </c>
      <c r="E108" s="107"/>
    </row>
    <row r="109" spans="1:5" ht="15" customHeight="1" x14ac:dyDescent="0.2">
      <c r="A109" s="108"/>
      <c r="B109" s="106"/>
      <c r="C109" s="13" t="s">
        <v>303</v>
      </c>
      <c r="D109" s="27" t="s">
        <v>61</v>
      </c>
      <c r="E109" s="107"/>
    </row>
    <row r="110" spans="1:5" x14ac:dyDescent="0.2">
      <c r="A110" s="108"/>
      <c r="B110" s="67" t="s">
        <v>333</v>
      </c>
      <c r="C110" s="13" t="s">
        <v>304</v>
      </c>
      <c r="D110" s="27" t="s">
        <v>61</v>
      </c>
      <c r="E110" s="107"/>
    </row>
    <row r="111" spans="1:5" ht="15" customHeight="1" x14ac:dyDescent="0.2">
      <c r="A111" s="108"/>
      <c r="B111" s="106" t="s">
        <v>313</v>
      </c>
      <c r="C111" s="13" t="s">
        <v>302</v>
      </c>
      <c r="D111" s="27" t="s">
        <v>61</v>
      </c>
      <c r="E111" s="107"/>
    </row>
    <row r="112" spans="1:5" ht="15" customHeight="1" x14ac:dyDescent="0.2">
      <c r="A112" s="108" t="s">
        <v>313</v>
      </c>
      <c r="B112" s="106"/>
      <c r="C112" s="13" t="s">
        <v>314</v>
      </c>
      <c r="D112" s="27" t="s">
        <v>61</v>
      </c>
      <c r="E112" s="107" t="s">
        <v>316</v>
      </c>
    </row>
    <row r="113" spans="1:5" ht="15" customHeight="1" x14ac:dyDescent="0.2">
      <c r="A113" s="108"/>
      <c r="B113" s="106"/>
      <c r="C113" s="13" t="s">
        <v>315</v>
      </c>
      <c r="D113" s="27" t="s">
        <v>61</v>
      </c>
      <c r="E113" s="107"/>
    </row>
    <row r="114" spans="1:5" ht="15" customHeight="1" x14ac:dyDescent="0.2">
      <c r="A114" s="108"/>
      <c r="B114" s="106"/>
      <c r="C114" s="13" t="s">
        <v>319</v>
      </c>
      <c r="D114" s="27" t="s">
        <v>61</v>
      </c>
      <c r="E114" s="107"/>
    </row>
    <row r="115" spans="1:5" ht="15" customHeight="1" x14ac:dyDescent="0.2">
      <c r="A115" s="108"/>
      <c r="B115" s="106"/>
      <c r="C115" s="13" t="s">
        <v>320</v>
      </c>
      <c r="D115" s="27" t="s">
        <v>61</v>
      </c>
      <c r="E115" s="107"/>
    </row>
    <row r="116" spans="1:5" ht="15" customHeight="1" x14ac:dyDescent="0.2">
      <c r="A116" s="108"/>
      <c r="B116" s="106"/>
      <c r="C116" s="13" t="s">
        <v>321</v>
      </c>
      <c r="D116" s="27" t="s">
        <v>61</v>
      </c>
      <c r="E116" s="107"/>
    </row>
    <row r="117" spans="1:5" ht="24" x14ac:dyDescent="0.2">
      <c r="A117" s="108"/>
      <c r="C117" s="13" t="s">
        <v>322</v>
      </c>
      <c r="D117" s="27" t="s">
        <v>65</v>
      </c>
      <c r="E117" s="107"/>
    </row>
    <row r="118" spans="1:5" x14ac:dyDescent="0.2">
      <c r="A118" s="108" t="s">
        <v>324</v>
      </c>
      <c r="C118" s="13" t="s">
        <v>325</v>
      </c>
      <c r="D118" s="27" t="s">
        <v>125</v>
      </c>
      <c r="E118" s="107" t="s">
        <v>327</v>
      </c>
    </row>
    <row r="119" spans="1:5" x14ac:dyDescent="0.2">
      <c r="A119" s="108"/>
      <c r="C119" s="13" t="s">
        <v>326</v>
      </c>
      <c r="D119" s="27" t="s">
        <v>125</v>
      </c>
      <c r="E119" s="107"/>
    </row>
    <row r="120" spans="1:5" x14ac:dyDescent="0.2">
      <c r="A120" s="108"/>
      <c r="B120" s="67" t="s">
        <v>324</v>
      </c>
      <c r="C120" s="13" t="s">
        <v>330</v>
      </c>
      <c r="D120" s="27" t="s">
        <v>61</v>
      </c>
      <c r="E120" s="107"/>
    </row>
    <row r="121" spans="1:5" ht="24" x14ac:dyDescent="0.2">
      <c r="A121" s="108"/>
      <c r="B121" s="67" t="s">
        <v>333</v>
      </c>
      <c r="C121" s="13" t="s">
        <v>331</v>
      </c>
      <c r="D121" s="27" t="s">
        <v>61</v>
      </c>
      <c r="E121" s="107"/>
    </row>
    <row r="122" spans="1:5" ht="24" x14ac:dyDescent="0.2">
      <c r="A122" s="108"/>
      <c r="B122" s="67" t="s">
        <v>324</v>
      </c>
      <c r="C122" s="13" t="s">
        <v>332</v>
      </c>
      <c r="D122" s="27" t="s">
        <v>61</v>
      </c>
      <c r="E122" s="107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5" t="s">
        <v>335</v>
      </c>
    </row>
    <row r="124" spans="1:5" ht="15" customHeight="1" x14ac:dyDescent="0.2">
      <c r="A124" s="108">
        <v>42378</v>
      </c>
      <c r="B124" s="106">
        <v>42378</v>
      </c>
      <c r="C124" s="13" t="s">
        <v>341</v>
      </c>
      <c r="D124" s="27" t="s">
        <v>61</v>
      </c>
      <c r="E124" s="107" t="s">
        <v>339</v>
      </c>
    </row>
    <row r="125" spans="1:5" ht="15" customHeight="1" x14ac:dyDescent="0.2">
      <c r="A125" s="108"/>
      <c r="B125" s="106"/>
      <c r="C125" s="13" t="s">
        <v>342</v>
      </c>
      <c r="D125" s="27" t="s">
        <v>61</v>
      </c>
      <c r="E125" s="107"/>
    </row>
    <row r="126" spans="1:5" ht="24" x14ac:dyDescent="0.2">
      <c r="A126" s="108"/>
      <c r="B126" s="106"/>
      <c r="C126" s="13" t="s">
        <v>343</v>
      </c>
      <c r="D126" s="27" t="s">
        <v>61</v>
      </c>
      <c r="E126" s="107"/>
    </row>
    <row r="127" spans="1:5" ht="24" x14ac:dyDescent="0.2">
      <c r="A127" s="108"/>
      <c r="B127" s="106"/>
      <c r="C127" s="13" t="s">
        <v>344</v>
      </c>
      <c r="D127" s="27" t="s">
        <v>61</v>
      </c>
      <c r="E127" s="107"/>
    </row>
    <row r="128" spans="1:5" ht="21" customHeight="1" x14ac:dyDescent="0.2">
      <c r="A128" s="108"/>
      <c r="B128" s="106">
        <v>42438</v>
      </c>
      <c r="C128" s="13" t="s">
        <v>345</v>
      </c>
      <c r="D128" s="27" t="s">
        <v>61</v>
      </c>
      <c r="E128" s="107"/>
    </row>
    <row r="129" spans="1:5" ht="21" customHeight="1" x14ac:dyDescent="0.2">
      <c r="A129" s="108"/>
      <c r="B129" s="106"/>
      <c r="C129" s="13" t="s">
        <v>346</v>
      </c>
      <c r="D129" s="27" t="s">
        <v>61</v>
      </c>
      <c r="E129" s="107"/>
    </row>
    <row r="130" spans="1:5" ht="21" customHeight="1" x14ac:dyDescent="0.2">
      <c r="A130" s="108"/>
      <c r="B130" s="106"/>
      <c r="C130" s="13" t="s">
        <v>347</v>
      </c>
      <c r="D130" s="27" t="s">
        <v>61</v>
      </c>
      <c r="E130" s="107"/>
    </row>
    <row r="131" spans="1:5" ht="21" customHeight="1" x14ac:dyDescent="0.2">
      <c r="A131" s="108"/>
      <c r="B131" s="106"/>
      <c r="C131" s="13" t="s">
        <v>348</v>
      </c>
      <c r="D131" s="27" t="s">
        <v>61</v>
      </c>
      <c r="E131" s="107"/>
    </row>
    <row r="132" spans="1:5" ht="15" customHeight="1" x14ac:dyDescent="0.2">
      <c r="A132" s="108">
        <v>42469</v>
      </c>
      <c r="B132" s="106">
        <v>42469</v>
      </c>
      <c r="C132" s="13" t="s">
        <v>352</v>
      </c>
      <c r="D132" s="27" t="s">
        <v>61</v>
      </c>
      <c r="E132" s="107" t="s">
        <v>349</v>
      </c>
    </row>
    <row r="133" spans="1:5" ht="15" customHeight="1" x14ac:dyDescent="0.2">
      <c r="A133" s="108"/>
      <c r="B133" s="106"/>
      <c r="C133" s="13" t="s">
        <v>353</v>
      </c>
      <c r="D133" s="27" t="s">
        <v>61</v>
      </c>
      <c r="E133" s="107"/>
    </row>
    <row r="134" spans="1:5" ht="15" customHeight="1" x14ac:dyDescent="0.2">
      <c r="A134" s="108"/>
      <c r="B134" s="106"/>
      <c r="C134" s="13" t="s">
        <v>359</v>
      </c>
      <c r="D134" s="27" t="s">
        <v>61</v>
      </c>
      <c r="E134" s="107"/>
    </row>
    <row r="135" spans="1:5" ht="15" customHeight="1" x14ac:dyDescent="0.2">
      <c r="A135" s="108"/>
      <c r="B135" s="106"/>
      <c r="C135" s="13" t="s">
        <v>354</v>
      </c>
      <c r="D135" s="27" t="s">
        <v>61</v>
      </c>
      <c r="E135" s="107"/>
    </row>
    <row r="136" spans="1:5" ht="15" customHeight="1" x14ac:dyDescent="0.2">
      <c r="A136" s="108"/>
      <c r="B136" s="106"/>
      <c r="C136" s="13" t="s">
        <v>355</v>
      </c>
      <c r="D136" s="27" t="s">
        <v>61</v>
      </c>
      <c r="E136" s="107"/>
    </row>
    <row r="137" spans="1:5" ht="15" customHeight="1" x14ac:dyDescent="0.2">
      <c r="A137" s="108"/>
      <c r="B137" s="106"/>
      <c r="C137" s="13" t="s">
        <v>356</v>
      </c>
      <c r="D137" s="27" t="s">
        <v>61</v>
      </c>
      <c r="E137" s="107"/>
    </row>
    <row r="138" spans="1:5" ht="15" customHeight="1" x14ac:dyDescent="0.2">
      <c r="A138" s="108"/>
      <c r="B138" s="106"/>
      <c r="C138" s="13" t="s">
        <v>357</v>
      </c>
      <c r="D138" s="27" t="s">
        <v>61</v>
      </c>
      <c r="E138" s="107"/>
    </row>
    <row r="139" spans="1:5" ht="36" x14ac:dyDescent="0.2">
      <c r="A139" s="108"/>
      <c r="C139" s="13" t="s">
        <v>358</v>
      </c>
      <c r="D139" s="27" t="s">
        <v>61</v>
      </c>
      <c r="E139" s="107"/>
    </row>
    <row r="140" spans="1:5" x14ac:dyDescent="0.2">
      <c r="A140" s="108"/>
      <c r="C140" s="13" t="s">
        <v>360</v>
      </c>
      <c r="D140" s="27" t="s">
        <v>65</v>
      </c>
      <c r="E140" s="107"/>
    </row>
    <row r="141" spans="1:5" ht="24" x14ac:dyDescent="0.2">
      <c r="A141" s="108"/>
      <c r="C141" s="13" t="s">
        <v>361</v>
      </c>
      <c r="D141" s="27" t="s">
        <v>65</v>
      </c>
      <c r="E141" s="107"/>
    </row>
    <row r="142" spans="1:5" ht="24" x14ac:dyDescent="0.2">
      <c r="A142" s="108"/>
      <c r="C142" s="13" t="s">
        <v>362</v>
      </c>
      <c r="D142" s="27" t="s">
        <v>65</v>
      </c>
      <c r="E142" s="107"/>
    </row>
    <row r="143" spans="1:5" ht="36" x14ac:dyDescent="0.2">
      <c r="A143" s="108"/>
      <c r="C143" s="13" t="s">
        <v>364</v>
      </c>
      <c r="D143" s="27" t="s">
        <v>65</v>
      </c>
      <c r="E143" s="107"/>
    </row>
    <row r="144" spans="1:5" x14ac:dyDescent="0.2">
      <c r="A144" s="108"/>
      <c r="C144" s="75" t="s">
        <v>363</v>
      </c>
      <c r="D144" s="27" t="s">
        <v>65</v>
      </c>
      <c r="E144" s="107"/>
    </row>
    <row r="145" spans="1:6" ht="24" x14ac:dyDescent="0.2">
      <c r="A145" s="65">
        <v>42499</v>
      </c>
      <c r="B145" s="67">
        <v>42499</v>
      </c>
      <c r="C145" s="13" t="s">
        <v>368</v>
      </c>
      <c r="D145" s="27" t="s">
        <v>61</v>
      </c>
      <c r="E145" s="88" t="s">
        <v>365</v>
      </c>
    </row>
    <row r="146" spans="1:6" ht="16.5" customHeight="1" x14ac:dyDescent="0.2">
      <c r="A146" s="108">
        <v>42530</v>
      </c>
      <c r="C146" s="13" t="s">
        <v>373</v>
      </c>
      <c r="D146" s="27" t="s">
        <v>65</v>
      </c>
      <c r="E146" s="107" t="s">
        <v>369</v>
      </c>
      <c r="F146" s="116" t="s">
        <v>375</v>
      </c>
    </row>
    <row r="147" spans="1:6" ht="16.5" customHeight="1" x14ac:dyDescent="0.2">
      <c r="A147" s="108"/>
      <c r="B147" s="90"/>
      <c r="C147" s="13" t="s">
        <v>376</v>
      </c>
      <c r="D147" s="27" t="s">
        <v>65</v>
      </c>
      <c r="E147" s="107"/>
      <c r="F147" s="116"/>
    </row>
    <row r="148" spans="1:6" ht="16.5" customHeight="1" x14ac:dyDescent="0.2">
      <c r="A148" s="108"/>
      <c r="C148" s="13" t="s">
        <v>374</v>
      </c>
      <c r="D148" s="27" t="s">
        <v>65</v>
      </c>
      <c r="E148" s="107"/>
      <c r="F148" s="116"/>
    </row>
    <row r="149" spans="1:6" ht="16.5" customHeight="1" x14ac:dyDescent="0.2">
      <c r="A149" s="108"/>
      <c r="C149" s="13" t="s">
        <v>377</v>
      </c>
      <c r="D149" s="27" t="s">
        <v>65</v>
      </c>
      <c r="E149" s="107"/>
      <c r="F149" s="116"/>
    </row>
    <row r="150" spans="1:6" ht="16.5" customHeight="1" x14ac:dyDescent="0.2">
      <c r="A150" s="108"/>
      <c r="C150" s="13" t="s">
        <v>378</v>
      </c>
      <c r="D150" s="27" t="s">
        <v>65</v>
      </c>
      <c r="E150" s="107"/>
      <c r="F150" s="116"/>
    </row>
    <row r="151" spans="1:6" ht="16.5" customHeight="1" x14ac:dyDescent="0.2">
      <c r="A151" s="108"/>
      <c r="C151" s="13" t="s">
        <v>379</v>
      </c>
      <c r="D151" s="27" t="s">
        <v>65</v>
      </c>
      <c r="E151" s="107"/>
      <c r="F151" s="116"/>
    </row>
    <row r="152" spans="1:6" x14ac:dyDescent="0.2">
      <c r="A152" s="108">
        <v>42591</v>
      </c>
      <c r="C152" s="13" t="s">
        <v>383</v>
      </c>
      <c r="D152" s="27" t="s">
        <v>123</v>
      </c>
      <c r="E152" s="107" t="s">
        <v>381</v>
      </c>
    </row>
    <row r="153" spans="1:6" ht="24" x14ac:dyDescent="0.2">
      <c r="A153" s="108"/>
      <c r="C153" s="13" t="s">
        <v>384</v>
      </c>
      <c r="D153" s="27" t="s">
        <v>123</v>
      </c>
      <c r="E153" s="107"/>
    </row>
  </sheetData>
  <mergeCells count="73">
    <mergeCell ref="A152:A153"/>
    <mergeCell ref="E152:E153"/>
    <mergeCell ref="A146:A151"/>
    <mergeCell ref="E146:E151"/>
    <mergeCell ref="F146:F151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4"/>
    <mergeCell ref="A132:A144"/>
    <mergeCell ref="B132:B138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5" location="Planning!J32" display="Planning!J32"/>
    <hyperlink ref="E146" location="Planning!J33" display="Planning!J33"/>
    <hyperlink ref="E152" location="Planning!J34" display="Planning!J34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2016-09-08T01:09:26Z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