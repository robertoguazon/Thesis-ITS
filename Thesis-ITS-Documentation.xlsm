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<sst xmlns="http://schemas.openxmlformats.org/spreadsheetml/2006/main" count="321" uniqueCount="188">
  <si>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</si>
  <si>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</si>
  <si>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</si>
  <si>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</si>
  <si>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</si>
  <si>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</si>
  <si>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</si>
  <si>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</si>
  <si>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</si>
  <si>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</si>
  <si>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</si>
  <si>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</si>
  <si>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</si>
  <si>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</si>
  <si>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</si>
  <si>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</si>
  <si>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</si>
  <si>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</si>
  <si>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</si>
  <si>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</si>
  <si>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</si>
  <si>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</si>
  <si>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</si>
  <si>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</si>
  <si>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</si>
  <si>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</si>
  <si>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</si>
  <si>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</si>
  <si>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</si>
  <si>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</si>
  <si>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</si>
  <si>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</si>
  <si>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</si>
  <si>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</si>
  <si>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</si>
  <si>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</si>
  <si>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</si>
  <si>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</si>
  <si>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</si>
  <si>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</si>
  <si>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</si>
  <si>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</si>
  <si>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</si>
  <si>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</si>
  <si>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</si>
  <si>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</si>
  <si>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</si>
  <si>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</si>
  <si>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</si>
  <si>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</si>
  <si>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</si>
  <si>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</si>
  <si>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</si>
  <si>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</si>
  <si>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</si>
  <si>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</si>
  <si>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</si>
  <si>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</si>
  <si>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</si>
  <si>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</si>
  <si>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</si>
  <si>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</si>
  <si>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</si>
  <si>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</si>
  <si>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</si>
  <si>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</si>
  <si>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</si>
  <si>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</si>
  <si>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</si>
  <si>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</si>
  <si>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</si>
  <si>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</si>
  <si>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</si>
  <si>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</si>
  <si>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</si>
  <si>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</si>
  <si>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</si>
  <si>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</si>
  <si>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</si>
  <si>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</si>
  <si>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</si>
  <si>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</si>
  <si>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quizTitle
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</si>
  <si>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</si>
  <si>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</si>
  <si>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</si>
  <si>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</si>
  <si>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</si>
  <si>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*fix points calculation - QuizItem
*fix quiz maker - error handle if no answer is picked. Create alert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</si>
  <si>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</si>
  <si>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</si>
  <si>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</si>
  <si>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</si>
  <si>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</si>
  <si>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</si>
  <si>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</si>
  <si>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</si>
  <si>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</si>
  <si>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</si>
  <si>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</si>
  <si>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</si>
  <si>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</si>
  <si>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</si>
  <si>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</si>
  <si>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</si>
  <si>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</si>
  <si>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</si>
  <si>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</si>
  <si>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</si>
  <si>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</si>
  <si>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</si>
  <si>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</si>
  <si>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</si>
  <si>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</si>
  <si>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</si>
  <si>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</si>
  <si>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</si>
  <si>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</si>
  <si>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</si>
  <si>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</si>
  <si>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</si>
  <si>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</si>
  <si>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</si>
  <si>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</si>
  <si>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</si>
  <si>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</si>
  <si>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</si>
  <si>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</si>
  <si>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</si>
  <si>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</si>
  <si>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</si>
  <si>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</si>
  <si>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</si>
  <si>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</si>
  <si>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</si>
  <si>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</si>
  <si>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</si>
  <si>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</si>
  <si>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</si>
  <si>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</si>
  <si>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</si>
  <si>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</si>
  <si>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</si>
  <si>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</si>
  <si>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</si>
  <si>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</si>
  <si>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</si>
  <si>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</si>
  <si>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</si>
  <si>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</si>
  <si>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</si>
  <si>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</si>
  <si>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</si>
  <si>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</si>
  <si>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</si>
  <si>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</si>
  <si>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</si>
  <si>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</si>
  <si>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</si>
  <si>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</si>
  <si>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</si>
  <si>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</si>
  <si>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</si>
  <si>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</si>
  <si>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</si>
  <si>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</si>
  <si>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</si>
  <si>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</si>
  <si>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</si>
  <si>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</si>
  <si>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</si>
  <si>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</si>
  <si>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</si>
  <si>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</si>
  <si>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</si>
  <si>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</si>
  <si>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</si>
  <si>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</si>
  <si>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</si>
  <si>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</si>
  <si>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</si>
  <si>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</si>
  <si>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</si>
  <si>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</si>
  <si>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</si>
  <si>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</si>
  <si>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quiz exercise viewer submit button with data validation and confirmation
* bind answers to QuizExercise if submitted and confirmed
* quiz maker check data validation</t>
  </si>
  <si>
    <t>* data validation for quiz maker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</si>
</sst>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0" fontId="8" fillId="0" borderId="0" xfId="1" applyBorder="1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9" fillId="0" borderId="0" xfId="0" applyNumberFormat="1" applyFont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0" fontId="23" fillId="0" borderId="0" xfId="0" applyNumberFormat="1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8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81"/>
      <tableStyleElement type="headerRow" dxfId="80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0.36363636363636365</c:v>
                </c:pt>
                <c:pt idx="1">
                  <c:v>0.54545454545454541</c:v>
                </c:pt>
                <c:pt idx="2">
                  <c:v>9.0909090909090912E-2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0.66666666666666663</c:v>
                </c:pt>
                <c:pt idx="1">
                  <c:v>0.31372549019607843</c:v>
                </c:pt>
                <c:pt idx="2">
                  <c:v>1.9607843137254902E-2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1" t="s">
        <v>0</v>
      </c>
      <c r="B1" s="71"/>
      <c r="C1" s="71"/>
    </row>
    <row r="2" spans="1:6" x14ac:dyDescent="0.25">
      <c r="A2" s="71"/>
      <c r="B2" s="71"/>
      <c r="C2" s="71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3" t="s">
        <v>43</v>
      </c>
      <c r="E4" s="73"/>
    </row>
    <row r="5" spans="1:6" x14ac:dyDescent="0.25">
      <c r="A5" s="72" t="s">
        <v>21</v>
      </c>
      <c r="B5" s="72"/>
      <c r="C5" s="72"/>
      <c r="D5" s="72"/>
      <c r="E5" s="72"/>
      <c r="F5" s="72"/>
    </row>
    <row r="6" spans="1:6" x14ac:dyDescent="0.25">
      <c r="A6" s="72"/>
      <c r="B6" s="72"/>
      <c r="C6" s="72"/>
      <c r="D6" s="72"/>
      <c r="E6" s="72"/>
      <c r="F6" s="72"/>
    </row>
    <row r="7" spans="1:6" x14ac:dyDescent="0.25">
      <c r="A7" s="7" t="s">
        <v>24</v>
      </c>
    </row>
    <row r="8" spans="1:6" x14ac:dyDescent="0.25">
      <c r="A8" s="70"/>
      <c r="B8" s="7" t="s">
        <v>25</v>
      </c>
    </row>
    <row r="9" spans="1:6" x14ac:dyDescent="0.25">
      <c r="A9" s="70"/>
      <c r="B9" s="7" t="s">
        <v>23</v>
      </c>
    </row>
    <row r="10" spans="1:6" x14ac:dyDescent="0.25">
      <c r="A10" s="70"/>
      <c r="C10" s="7" t="s">
        <v>35</v>
      </c>
    </row>
    <row r="11" spans="1:6" x14ac:dyDescent="0.25">
      <c r="A11" s="70"/>
      <c r="B11" s="7" t="s">
        <v>22</v>
      </c>
      <c r="C11" s="69"/>
    </row>
    <row r="12" spans="1:6" x14ac:dyDescent="0.25">
      <c r="A12" s="70"/>
      <c r="B12" s="7" t="s">
        <v>26</v>
      </c>
      <c r="C12" s="69"/>
    </row>
    <row r="13" spans="1:6" x14ac:dyDescent="0.25">
      <c r="A13" s="70"/>
      <c r="B13" s="7" t="s">
        <v>46</v>
      </c>
      <c r="C13" s="69"/>
    </row>
    <row r="14" spans="1:6" x14ac:dyDescent="0.25">
      <c r="A14" s="7" t="s">
        <v>27</v>
      </c>
      <c r="C14" s="69"/>
    </row>
    <row r="15" spans="1:6" x14ac:dyDescent="0.25">
      <c r="A15" s="70"/>
      <c r="B15" s="7" t="s">
        <v>28</v>
      </c>
      <c r="C15" s="69"/>
    </row>
    <row r="16" spans="1:6" x14ac:dyDescent="0.25">
      <c r="A16" s="70"/>
      <c r="B16" s="69"/>
      <c r="C16" s="7" t="s">
        <v>31</v>
      </c>
    </row>
    <row r="17" spans="1:4" x14ac:dyDescent="0.25">
      <c r="A17" s="70"/>
      <c r="B17" s="69"/>
      <c r="C17" s="69"/>
      <c r="D17" s="9" t="s">
        <v>40</v>
      </c>
    </row>
    <row r="18" spans="1:4" x14ac:dyDescent="0.25">
      <c r="A18" s="70"/>
      <c r="B18" s="69"/>
      <c r="C18" s="69"/>
      <c r="D18" s="9" t="s">
        <v>39</v>
      </c>
    </row>
    <row r="19" spans="1:4" x14ac:dyDescent="0.25">
      <c r="A19" s="70"/>
      <c r="B19" s="69"/>
      <c r="C19" s="69"/>
      <c r="D19" s="7" t="s">
        <v>22</v>
      </c>
    </row>
    <row r="20" spans="1:4" x14ac:dyDescent="0.25">
      <c r="A20" s="70"/>
      <c r="B20" s="69"/>
      <c r="C20" s="7" t="s">
        <v>32</v>
      </c>
    </row>
    <row r="21" spans="1:4" x14ac:dyDescent="0.25">
      <c r="A21" s="70"/>
      <c r="B21" s="69"/>
      <c r="C21" s="69"/>
      <c r="D21" s="9" t="s">
        <v>40</v>
      </c>
    </row>
    <row r="22" spans="1:4" x14ac:dyDescent="0.25">
      <c r="A22" s="70"/>
      <c r="B22" s="69"/>
      <c r="C22" s="69"/>
      <c r="D22" s="9" t="s">
        <v>39</v>
      </c>
    </row>
    <row r="23" spans="1:4" x14ac:dyDescent="0.25">
      <c r="A23" s="70"/>
      <c r="B23" s="69"/>
      <c r="C23" s="69"/>
      <c r="D23" s="7" t="s">
        <v>22</v>
      </c>
    </row>
    <row r="24" spans="1:4" x14ac:dyDescent="0.25">
      <c r="A24" s="70"/>
      <c r="B24" s="7" t="s">
        <v>29</v>
      </c>
      <c r="C24" s="69"/>
      <c r="D24" s="69"/>
    </row>
    <row r="25" spans="1:4" x14ac:dyDescent="0.25">
      <c r="A25" s="70"/>
      <c r="B25" s="69"/>
      <c r="C25" s="7" t="s">
        <v>33</v>
      </c>
      <c r="D25" s="69"/>
    </row>
    <row r="26" spans="1:4" x14ac:dyDescent="0.25">
      <c r="A26" s="70"/>
      <c r="B26" s="69"/>
      <c r="C26" s="69"/>
      <c r="D26" s="9" t="s">
        <v>40</v>
      </c>
    </row>
    <row r="27" spans="1:4" x14ac:dyDescent="0.25">
      <c r="A27" s="70"/>
      <c r="B27" s="69"/>
      <c r="C27" s="69"/>
      <c r="D27" s="7" t="s">
        <v>39</v>
      </c>
    </row>
    <row r="28" spans="1:4" x14ac:dyDescent="0.25">
      <c r="A28" s="70"/>
      <c r="B28" s="69"/>
      <c r="C28" s="69"/>
      <c r="D28" s="7" t="s">
        <v>22</v>
      </c>
    </row>
    <row r="29" spans="1:4" x14ac:dyDescent="0.25">
      <c r="A29" s="70"/>
      <c r="B29" s="69"/>
      <c r="C29" s="7" t="s">
        <v>34</v>
      </c>
    </row>
    <row r="30" spans="1:4" x14ac:dyDescent="0.25">
      <c r="A30" s="70"/>
      <c r="B30" s="69"/>
      <c r="C30" s="69"/>
      <c r="D30" s="7" t="s">
        <v>40</v>
      </c>
    </row>
    <row r="31" spans="1:4" x14ac:dyDescent="0.25">
      <c r="A31" s="70"/>
      <c r="B31" s="69"/>
      <c r="C31" s="69"/>
      <c r="D31" s="7" t="s">
        <v>39</v>
      </c>
    </row>
    <row r="32" spans="1:4" x14ac:dyDescent="0.25">
      <c r="A32" s="70"/>
      <c r="B32" s="69"/>
      <c r="C32" s="69"/>
      <c r="D32" s="7" t="s">
        <v>22</v>
      </c>
    </row>
    <row r="33" spans="1:4" x14ac:dyDescent="0.25">
      <c r="A33" s="70"/>
      <c r="B33" s="7" t="s">
        <v>30</v>
      </c>
      <c r="C33" s="69"/>
      <c r="D33" s="69"/>
    </row>
    <row r="34" spans="1:4" x14ac:dyDescent="0.25">
      <c r="A34" s="70"/>
      <c r="B34" s="69"/>
      <c r="C34" s="7" t="s">
        <v>33</v>
      </c>
      <c r="D34" s="69"/>
    </row>
    <row r="35" spans="1:4" x14ac:dyDescent="0.25">
      <c r="A35" s="70"/>
      <c r="B35" s="69"/>
      <c r="C35" s="74"/>
      <c r="D35" s="18" t="s">
        <v>40</v>
      </c>
    </row>
    <row r="36" spans="1:4" x14ac:dyDescent="0.25">
      <c r="A36" s="70"/>
      <c r="B36" s="69"/>
      <c r="C36" s="74"/>
      <c r="D36" s="7" t="s">
        <v>39</v>
      </c>
    </row>
    <row r="37" spans="1:4" x14ac:dyDescent="0.25">
      <c r="A37" s="70"/>
      <c r="B37" s="69"/>
      <c r="C37" s="74"/>
      <c r="D37" s="7" t="s">
        <v>22</v>
      </c>
    </row>
    <row r="38" spans="1:4" x14ac:dyDescent="0.25">
      <c r="A38" s="70"/>
      <c r="B38" s="69"/>
      <c r="C38" s="6" t="s">
        <v>34</v>
      </c>
    </row>
    <row r="39" spans="1:4" x14ac:dyDescent="0.25">
      <c r="A39" s="70"/>
      <c r="B39" s="69"/>
      <c r="C39" s="69"/>
      <c r="D39" s="6" t="s">
        <v>40</v>
      </c>
    </row>
    <row r="40" spans="1:4" x14ac:dyDescent="0.25">
      <c r="A40" s="70"/>
      <c r="B40" s="69"/>
      <c r="C40" s="69"/>
      <c r="D40" s="6" t="s">
        <v>39</v>
      </c>
    </row>
    <row r="41" spans="1:4" x14ac:dyDescent="0.25">
      <c r="A41" s="70"/>
      <c r="B41" s="69"/>
      <c r="C41" s="69"/>
      <c r="D41" s="6" t="s">
        <v>22</v>
      </c>
    </row>
    <row r="42" spans="1:4" x14ac:dyDescent="0.25">
      <c r="A42" s="7" t="s">
        <v>36</v>
      </c>
      <c r="B42" s="69"/>
      <c r="C42" s="69"/>
    </row>
    <row r="43" spans="1:4" x14ac:dyDescent="0.25">
      <c r="B43" s="7" t="s">
        <v>37</v>
      </c>
      <c r="C43" s="6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workbookViewId="0">
      <pane xSplit="1" topLeftCell="B1" activePane="topRight" state="frozen"/>
      <selection pane="topRight" activeCell="H6" sqref="H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75" t="s">
        <v>1</v>
      </c>
      <c r="C1" s="75"/>
      <c r="D1" s="75"/>
      <c r="E1" s="75"/>
      <c r="F1" s="76" t="s">
        <v>16</v>
      </c>
      <c r="G1" s="76"/>
      <c r="H1" s="76"/>
      <c r="I1" s="76"/>
      <c r="J1" s="76"/>
      <c r="K1" s="76"/>
      <c r="L1" s="54" t="s">
        <v>128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144</v>
      </c>
      <c r="C6" s="4" t="s">
        <v>145</v>
      </c>
      <c r="D6" s="3" t="s">
        <v>79</v>
      </c>
      <c r="E6" s="3" t="s">
        <v>80</v>
      </c>
      <c r="F6" s="4" t="s">
        <v>81</v>
      </c>
      <c r="G6" s="4" t="s">
        <v>82</v>
      </c>
      <c r="H6" s="4" t="s">
        <v>83</v>
      </c>
      <c r="I6" s="4" t="s">
        <v>20</v>
      </c>
      <c r="J6" s="22" t="s">
        <v>103</v>
      </c>
      <c r="K6" s="17" t="s">
        <v>84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77" t="s">
        <v>121</v>
      </c>
      <c r="B1" s="77"/>
      <c r="C1" s="77"/>
      <c r="D1" s="77"/>
      <c r="H1" s="77" t="s">
        <v>126</v>
      </c>
      <c r="I1" s="77"/>
      <c r="J1" s="77"/>
      <c r="K1" s="77"/>
      <c r="L1" s="77"/>
    </row>
    <row r="2" spans="1:12" x14ac:dyDescent="0.25">
      <c r="A2" s="77"/>
      <c r="B2" s="77"/>
      <c r="C2" s="77"/>
      <c r="D2" s="77"/>
      <c r="H2" s="77"/>
      <c r="I2" s="77"/>
      <c r="J2" s="77"/>
      <c r="K2" s="77"/>
      <c r="L2" s="77"/>
    </row>
    <row r="3" spans="1:12" x14ac:dyDescent="0.25">
      <c r="A3" t="s">
        <v>60</v>
      </c>
      <c r="B3" t="s">
        <v>122</v>
      </c>
      <c r="C3" t="s">
        <v>123</v>
      </c>
      <c r="H3" s="38" t="s">
        <v>60</v>
      </c>
      <c r="I3" s="38" t="s">
        <v>122</v>
      </c>
      <c r="J3" s="38" t="s">
        <v>123</v>
      </c>
    </row>
    <row r="4" spans="1:12" x14ac:dyDescent="0.25">
      <c r="A4" s="25" t="s">
        <v>99</v>
      </c>
      <c r="B4" s="39">
        <f>COUNTIF(Planning!M3:M1048576,"Yes")</f>
        <v>4</v>
      </c>
      <c r="C4" s="42">
        <f>B4/B7</f>
        <v>0.36363636363636365</v>
      </c>
      <c r="H4" s="27" t="s">
        <v>61</v>
      </c>
      <c r="I4" s="46">
        <f>COUNTIF(Checklist!D2:D1048576,"Completed")</f>
        <v>34</v>
      </c>
      <c r="J4" s="51">
        <f>I4/I8</f>
        <v>0.66666666666666663</v>
      </c>
    </row>
    <row r="5" spans="1:12" x14ac:dyDescent="0.25">
      <c r="A5" s="25" t="s">
        <v>86</v>
      </c>
      <c r="B5" s="40">
        <f>COUNTIF(Planning!M3:M1048576,"No")</f>
        <v>6</v>
      </c>
      <c r="C5" s="44">
        <f>B5/B7</f>
        <v>0.54545454545454541</v>
      </c>
      <c r="H5" s="27" t="s">
        <v>65</v>
      </c>
      <c r="I5" s="47">
        <f>COUNTIF(Checklist!D2:D1048576,"Not Started")</f>
        <v>16</v>
      </c>
      <c r="J5" s="52">
        <f>I5/I8</f>
        <v>0.31372549019607843</v>
      </c>
    </row>
    <row r="6" spans="1:12" x14ac:dyDescent="0.25">
      <c r="A6" s="25" t="s">
        <v>111</v>
      </c>
      <c r="B6" s="41">
        <f>COUNTIF(Planning!M3:M1048576,"Some")</f>
        <v>1</v>
      </c>
      <c r="C6" s="43">
        <f>B6/B7</f>
        <v>9.0909090909090912E-2</v>
      </c>
      <c r="H6" s="27" t="s">
        <v>125</v>
      </c>
      <c r="I6" s="48">
        <f>COUNTIF(Checklist!D2:D1048576,"working")</f>
        <v>1</v>
      </c>
      <c r="J6" s="50">
        <f>I6/I8</f>
        <v>1.9607843137254902E-2</v>
      </c>
    </row>
    <row r="7" spans="1:12" x14ac:dyDescent="0.25">
      <c r="A7" s="38" t="s">
        <v>124</v>
      </c>
      <c r="B7">
        <f>SUM(B4:B6)</f>
        <v>11</v>
      </c>
      <c r="H7" s="27" t="s">
        <v>127</v>
      </c>
      <c r="I7" s="49">
        <f>COUNTIF(Checklist!D2:D1048576,"Fixing")</f>
        <v>0</v>
      </c>
      <c r="J7" s="53">
        <f>I7/I8</f>
        <v>0</v>
      </c>
    </row>
    <row r="8" spans="1:12" x14ac:dyDescent="0.25">
      <c r="H8" s="38" t="s">
        <v>124</v>
      </c>
      <c r="I8" s="45">
        <f>SUM(I4:I7)</f>
        <v>51</v>
      </c>
      <c r="J8" s="45"/>
    </row>
  </sheetData>
  <mergeCells count="2">
    <mergeCell ref="A1:D2"/>
    <mergeCell ref="H1:L2"/>
  </mergeCells>
  <conditionalFormatting sqref="A4">
    <cfRule type="cellIs" dxfId="79" priority="29" operator="equal">
      <formula>"Some"</formula>
    </cfRule>
    <cfRule type="cellIs" dxfId="78" priority="30" operator="equal">
      <formula>"Some"</formula>
    </cfRule>
    <cfRule type="cellIs" dxfId="77" priority="31" operator="equal">
      <formula>"No"</formula>
    </cfRule>
    <cfRule type="cellIs" dxfId="76" priority="32" operator="equal">
      <formula>"Yes"</formula>
    </cfRule>
  </conditionalFormatting>
  <conditionalFormatting sqref="A5">
    <cfRule type="cellIs" dxfId="75" priority="25" operator="equal">
      <formula>"Some"</formula>
    </cfRule>
    <cfRule type="cellIs" dxfId="74" priority="26" operator="equal">
      <formula>"Some"</formula>
    </cfRule>
    <cfRule type="cellIs" dxfId="73" priority="27" operator="equal">
      <formula>"No"</formula>
    </cfRule>
    <cfRule type="cellIs" dxfId="72" priority="28" operator="equal">
      <formula>"Yes"</formula>
    </cfRule>
  </conditionalFormatting>
  <conditionalFormatting sqref="A6">
    <cfRule type="cellIs" dxfId="71" priority="21" operator="equal">
      <formula>"Some"</formula>
    </cfRule>
    <cfRule type="cellIs" dxfId="70" priority="22" operator="equal">
      <formula>"Some"</formula>
    </cfRule>
    <cfRule type="cellIs" dxfId="69" priority="23" operator="equal">
      <formula>"No"</formula>
    </cfRule>
    <cfRule type="cellIs" dxfId="68" priority="24" operator="equal">
      <formula>"Yes"</formula>
    </cfRule>
  </conditionalFormatting>
  <conditionalFormatting sqref="H4">
    <cfRule type="cellIs" dxfId="67" priority="16" operator="equal">
      <formula>"Fixing"</formula>
    </cfRule>
    <cfRule type="cellIs" dxfId="66" priority="17" operator="equal">
      <formula>"Working"</formula>
    </cfRule>
    <cfRule type="cellIs" dxfId="65" priority="18" operator="equal">
      <formula>"Not started"</formula>
    </cfRule>
    <cfRule type="cellIs" dxfId="64" priority="19" operator="equal">
      <formula>"Completed"</formula>
    </cfRule>
    <cfRule type="cellIs" dxfId="63" priority="20" operator="equal">
      <formula>"Completed"</formula>
    </cfRule>
  </conditionalFormatting>
  <conditionalFormatting sqref="H5">
    <cfRule type="cellIs" dxfId="62" priority="11" operator="equal">
      <formula>"Fixing"</formula>
    </cfRule>
    <cfRule type="cellIs" dxfId="61" priority="12" operator="equal">
      <formula>"Working"</formula>
    </cfRule>
    <cfRule type="cellIs" dxfId="60" priority="13" operator="equal">
      <formula>"Not started"</formula>
    </cfRule>
    <cfRule type="cellIs" dxfId="59" priority="14" operator="equal">
      <formula>"Completed"</formula>
    </cfRule>
    <cfRule type="cellIs" dxfId="58" priority="15" operator="equal">
      <formula>"Completed"</formula>
    </cfRule>
  </conditionalFormatting>
  <conditionalFormatting sqref="H6">
    <cfRule type="cellIs" dxfId="57" priority="6" operator="equal">
      <formula>"Fixing"</formula>
    </cfRule>
    <cfRule type="cellIs" dxfId="56" priority="7" operator="equal">
      <formula>"Working"</formula>
    </cfRule>
    <cfRule type="cellIs" dxfId="55" priority="8" operator="equal">
      <formula>"Not started"</formula>
    </cfRule>
    <cfRule type="cellIs" dxfId="54" priority="9" operator="equal">
      <formula>"Completed"</formula>
    </cfRule>
    <cfRule type="cellIs" dxfId="53" priority="10" operator="equal">
      <formula>"Completed"</formula>
    </cfRule>
  </conditionalFormatting>
  <conditionalFormatting sqref="H7">
    <cfRule type="cellIs" dxfId="52" priority="1" operator="equal">
      <formula>"Fixing"</formula>
    </cfRule>
    <cfRule type="cellIs" dxfId="51" priority="2" operator="equal">
      <formula>"Working"</formula>
    </cfRule>
    <cfRule type="cellIs" dxfId="50" priority="3" operator="equal">
      <formula>"Not started"</formula>
    </cfRule>
    <cfRule type="cellIs" dxfId="49" priority="4" operator="equal">
      <formula>"Completed"</formula>
    </cfRule>
    <cfRule type="cellIs" dxfId="4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topLeftCell="C1" workbookViewId="0">
      <pane ySplit="2" topLeftCell="A11" activePane="bottomLeft" state="frozen"/>
      <selection pane="bottomLeft" activeCell="E13" sqref="E13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60" customWidth="1"/>
    <col min="11" max="11" width="13.28515625" style="61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78" t="s">
        <v>13</v>
      </c>
      <c r="B1" s="78"/>
      <c r="C1" s="78"/>
      <c r="D1" s="78"/>
      <c r="E1" s="78"/>
      <c r="F1" s="78"/>
      <c r="G1" s="78"/>
      <c r="H1" s="78"/>
      <c r="I1" s="37"/>
      <c r="J1" s="62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108</v>
      </c>
      <c r="J2" s="63" t="s">
        <v>54</v>
      </c>
      <c r="K2" s="64" t="s">
        <v>90</v>
      </c>
      <c r="L2" s="23" t="s">
        <v>69</v>
      </c>
      <c r="M2" s="24" t="s">
        <v>85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60" t="s">
        <v>53</v>
      </c>
      <c r="K3" s="61" t="s">
        <v>92</v>
      </c>
      <c r="L3" s="32" t="s">
        <v>68</v>
      </c>
      <c r="M3" s="25" t="s">
        <v>99</v>
      </c>
    </row>
    <row r="4" spans="1:26" ht="61.5" customHeight="1" x14ac:dyDescent="0.25">
      <c r="C4" s="30" t="s">
        <v>88</v>
      </c>
      <c r="J4" s="60" t="s">
        <v>59</v>
      </c>
      <c r="L4" s="32" t="s">
        <v>97</v>
      </c>
      <c r="M4" s="25" t="s">
        <v>86</v>
      </c>
    </row>
    <row r="5" spans="1:26" ht="61.5" customHeight="1" x14ac:dyDescent="0.25">
      <c r="C5" s="30" t="s">
        <v>100</v>
      </c>
      <c r="E5" s="31" t="s">
        <v>102</v>
      </c>
      <c r="F5" s="30" t="s">
        <v>91</v>
      </c>
      <c r="J5" s="60" t="s">
        <v>92</v>
      </c>
      <c r="L5" s="33" t="s">
        <v>98</v>
      </c>
      <c r="M5" s="25" t="s">
        <v>86</v>
      </c>
    </row>
    <row r="6" spans="1:26" ht="61.5" customHeight="1" x14ac:dyDescent="0.25">
      <c r="D6" s="31" t="s">
        <v>112</v>
      </c>
      <c r="J6" s="60" t="s">
        <v>104</v>
      </c>
      <c r="K6" s="61" t="s">
        <v>104</v>
      </c>
      <c r="L6" s="35" t="s">
        <v>107</v>
      </c>
      <c r="M6" s="25" t="s">
        <v>99</v>
      </c>
    </row>
    <row r="7" spans="1:26" ht="61.5" customHeight="1" x14ac:dyDescent="0.25">
      <c r="C7" s="30" t="s">
        <v>110</v>
      </c>
      <c r="D7" s="31" t="s">
        <v>113</v>
      </c>
      <c r="I7" s="31" t="s">
        <v>109</v>
      </c>
      <c r="J7" s="60" t="s">
        <v>114</v>
      </c>
      <c r="L7" s="35" t="s">
        <v>119</v>
      </c>
      <c r="M7" s="25" t="s">
        <v>111</v>
      </c>
    </row>
    <row r="8" spans="1:26" ht="61.5" customHeight="1" x14ac:dyDescent="0.25">
      <c r="C8" s="30" t="s">
        <v>133</v>
      </c>
      <c r="E8" s="30"/>
      <c r="J8" s="60" t="s">
        <v>130</v>
      </c>
      <c r="L8" s="35" t="s">
        <v>135</v>
      </c>
      <c r="M8" s="25" t="s">
        <v>86</v>
      </c>
    </row>
    <row r="9" spans="1:26" ht="61.5" customHeight="1" x14ac:dyDescent="0.25">
      <c r="C9" s="31" t="s">
        <v>142</v>
      </c>
      <c r="E9" s="31" t="s">
        <v>137</v>
      </c>
      <c r="J9" s="60" t="s">
        <v>136</v>
      </c>
      <c r="K9" s="61" t="s">
        <v>136</v>
      </c>
      <c r="L9" s="35" t="s">
        <v>141</v>
      </c>
      <c r="M9" s="25" t="s">
        <v>99</v>
      </c>
    </row>
    <row r="10" spans="1:26" s="57" customFormat="1" ht="61.5" customHeight="1" x14ac:dyDescent="0.25">
      <c r="A10" s="36"/>
      <c r="B10" s="36"/>
      <c r="C10" s="36"/>
      <c r="D10" s="36"/>
      <c r="E10" s="55" t="s">
        <v>152</v>
      </c>
      <c r="F10" s="36"/>
      <c r="G10" s="36"/>
      <c r="H10" s="36"/>
      <c r="I10" s="36"/>
      <c r="J10" s="60">
        <v>42529</v>
      </c>
      <c r="K10" s="61">
        <v>42529</v>
      </c>
      <c r="L10" s="35" t="s">
        <v>146</v>
      </c>
      <c r="M10" s="56" t="s">
        <v>99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30" t="s">
        <v>153</v>
      </c>
      <c r="J11" s="60">
        <v>42621</v>
      </c>
      <c r="L11" s="35" t="s">
        <v>156</v>
      </c>
      <c r="M11" s="25" t="s">
        <v>86</v>
      </c>
    </row>
    <row r="12" spans="1:26" ht="61.5" customHeight="1" x14ac:dyDescent="0.25">
      <c r="B12" s="30" t="s">
        <v>169</v>
      </c>
      <c r="C12" s="55" t="s">
        <v>172</v>
      </c>
      <c r="E12" s="55" t="s">
        <v>168</v>
      </c>
      <c r="J12" s="60">
        <v>42651</v>
      </c>
      <c r="L12" s="35" t="s">
        <v>159</v>
      </c>
      <c r="M12" s="25" t="s">
        <v>86</v>
      </c>
    </row>
    <row r="13" spans="1:26" ht="77.25" customHeight="1" x14ac:dyDescent="0.25">
      <c r="C13" s="30" t="s">
        <v>186</v>
      </c>
      <c r="J13" s="60">
        <v>42712</v>
      </c>
      <c r="L13" s="35" t="s">
        <v>176</v>
      </c>
      <c r="M13" s="25" t="s">
        <v>86</v>
      </c>
    </row>
    <row r="14" spans="1:26" ht="77.25" customHeight="1" x14ac:dyDescent="0.25"/>
    <row r="15" spans="1:26" ht="77.25" customHeight="1" x14ac:dyDescent="0.25"/>
    <row r="16" spans="1:26" ht="77.25" customHeight="1" x14ac:dyDescent="0.25"/>
    <row r="17" ht="77.25" customHeight="1" x14ac:dyDescent="0.25"/>
    <row r="18" ht="77.25" customHeight="1" x14ac:dyDescent="0.25"/>
    <row r="19" ht="77.25" customHeight="1" x14ac:dyDescent="0.25"/>
    <row r="20" ht="77.25" customHeight="1" x14ac:dyDescent="0.25"/>
  </sheetData>
  <mergeCells count="1">
    <mergeCell ref="A1:H1"/>
  </mergeCells>
  <conditionalFormatting sqref="M1:M9 M11:M1048576">
    <cfRule type="cellIs" dxfId="47" priority="5" operator="equal">
      <formula>"Some"</formula>
    </cfRule>
    <cfRule type="cellIs" dxfId="46" priority="6" operator="equal">
      <formula>"Some"</formula>
    </cfRule>
    <cfRule type="cellIs" dxfId="45" priority="7" operator="equal">
      <formula>"No"</formula>
    </cfRule>
    <cfRule type="cellIs" dxfId="44" priority="8" operator="equal">
      <formula>"Yes"</formula>
    </cfRule>
  </conditionalFormatting>
  <conditionalFormatting sqref="M10">
    <cfRule type="cellIs" dxfId="43" priority="1" operator="equal">
      <formula>"Some"</formula>
    </cfRule>
  </conditionalFormatting>
  <conditionalFormatting sqref="M10">
    <cfRule type="cellIs" dxfId="42" priority="2" operator="equal">
      <formula>"Some"</formula>
    </cfRule>
  </conditionalFormatting>
  <conditionalFormatting sqref="M10">
    <cfRule type="cellIs" dxfId="41" priority="3" operator="equal">
      <formula>"No"</formula>
    </cfRule>
  </conditionalFormatting>
  <conditionalFormatting sqref="M10">
    <cfRule type="cellIs" dxfId="4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53"/>
  <sheetViews>
    <sheetView tabSelected="1" workbookViewId="0">
      <pane xSplit="1" ySplit="2" topLeftCell="B39" activePane="bottomRight" state="frozen"/>
      <selection pane="topRight" activeCell="B1" sqref="B1"/>
      <selection pane="bottomLeft" activeCell="A3" sqref="A3"/>
      <selection pane="bottomRight" activeCell="G49" sqref="G49"/>
    </sheetView>
  </sheetViews>
  <sheetFormatPr defaultRowHeight="15" x14ac:dyDescent="0.2"/>
  <cols>
    <col min="1" max="1" width="17.42578125" style="66" customWidth="1"/>
    <col min="2" max="2" width="17.42578125" style="68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93" customWidth="1"/>
    <col min="7" max="12" width="17.42578125" style="14" customWidth="1"/>
    <col min="13" max="16384" width="9.140625" style="14"/>
  </cols>
  <sheetData>
    <row r="2" spans="1:6" x14ac:dyDescent="0.2">
      <c r="A2" s="65" t="s">
        <v>87</v>
      </c>
      <c r="B2" s="65" t="s">
        <v>58</v>
      </c>
      <c r="C2" s="15" t="s">
        <v>57</v>
      </c>
      <c r="D2" s="26" t="s">
        <v>60</v>
      </c>
      <c r="E2" s="19" t="s">
        <v>70</v>
      </c>
      <c r="F2" s="92" t="s">
        <v>179</v>
      </c>
    </row>
    <row r="3" spans="1:6" ht="24" x14ac:dyDescent="0.2">
      <c r="A3" s="90" t="s">
        <v>53</v>
      </c>
      <c r="B3" s="89" t="s">
        <v>59</v>
      </c>
      <c r="C3" s="13" t="s">
        <v>75</v>
      </c>
      <c r="D3" s="27" t="s">
        <v>61</v>
      </c>
      <c r="E3" s="88" t="s">
        <v>71</v>
      </c>
    </row>
    <row r="4" spans="1:6" ht="12" customHeight="1" x14ac:dyDescent="0.2">
      <c r="A4" s="90"/>
      <c r="B4" s="89"/>
      <c r="C4" s="13" t="s">
        <v>62</v>
      </c>
      <c r="D4" s="27" t="s">
        <v>61</v>
      </c>
      <c r="E4" s="88"/>
    </row>
    <row r="5" spans="1:6" ht="12" customHeight="1" x14ac:dyDescent="0.2">
      <c r="A5" s="90"/>
      <c r="B5" s="89"/>
      <c r="C5" s="13" t="s">
        <v>63</v>
      </c>
      <c r="D5" s="27" t="s">
        <v>61</v>
      </c>
      <c r="E5" s="88"/>
    </row>
    <row r="6" spans="1:6" ht="12" customHeight="1" x14ac:dyDescent="0.2">
      <c r="A6" s="90"/>
      <c r="B6" s="89"/>
      <c r="C6" s="13" t="s">
        <v>64</v>
      </c>
      <c r="D6" s="27" t="s">
        <v>61</v>
      </c>
      <c r="E6" s="88"/>
    </row>
    <row r="7" spans="1:6" ht="12" customHeight="1" x14ac:dyDescent="0.2">
      <c r="A7" s="90"/>
      <c r="B7" s="89"/>
      <c r="C7" s="13" t="s">
        <v>72</v>
      </c>
      <c r="D7" s="27" t="s">
        <v>61</v>
      </c>
      <c r="E7" s="88"/>
    </row>
    <row r="8" spans="1:6" ht="12" customHeight="1" x14ac:dyDescent="0.2">
      <c r="A8" s="90"/>
      <c r="B8" s="89"/>
      <c r="C8" s="13" t="s">
        <v>67</v>
      </c>
      <c r="D8" s="27" t="s">
        <v>61</v>
      </c>
      <c r="E8" s="88"/>
    </row>
    <row r="9" spans="1:6" ht="12" customHeight="1" x14ac:dyDescent="0.2">
      <c r="A9" s="90"/>
      <c r="B9" s="89"/>
      <c r="C9" s="13" t="s">
        <v>66</v>
      </c>
      <c r="D9" s="27" t="s">
        <v>61</v>
      </c>
      <c r="E9" s="88"/>
    </row>
    <row r="10" spans="1:6" ht="15" customHeight="1" x14ac:dyDescent="0.2">
      <c r="A10" s="90"/>
      <c r="B10" s="89"/>
      <c r="C10" s="13" t="s">
        <v>73</v>
      </c>
      <c r="D10" s="27" t="s">
        <v>61</v>
      </c>
      <c r="E10" s="88"/>
    </row>
    <row r="11" spans="1:6" x14ac:dyDescent="0.2">
      <c r="A11" s="90"/>
      <c r="B11" s="67" t="s">
        <v>92</v>
      </c>
      <c r="C11" s="13" t="s">
        <v>74</v>
      </c>
      <c r="D11" s="27" t="s">
        <v>61</v>
      </c>
      <c r="E11" s="88"/>
    </row>
    <row r="12" spans="1:6" x14ac:dyDescent="0.2">
      <c r="A12" s="90" t="s">
        <v>59</v>
      </c>
      <c r="C12" s="13" t="s">
        <v>93</v>
      </c>
      <c r="D12" s="27" t="s">
        <v>65</v>
      </c>
      <c r="E12" s="88" t="s">
        <v>89</v>
      </c>
    </row>
    <row r="13" spans="1:6" ht="24" x14ac:dyDescent="0.2">
      <c r="A13" s="90"/>
      <c r="C13" s="13" t="s">
        <v>94</v>
      </c>
      <c r="D13" s="27" t="s">
        <v>125</v>
      </c>
      <c r="E13" s="88"/>
    </row>
    <row r="14" spans="1:6" ht="24" x14ac:dyDescent="0.2">
      <c r="A14" s="90" t="s">
        <v>92</v>
      </c>
      <c r="B14" s="68">
        <v>42621</v>
      </c>
      <c r="C14" s="13" t="s">
        <v>129</v>
      </c>
      <c r="D14" s="27" t="s">
        <v>61</v>
      </c>
      <c r="E14" s="88" t="s">
        <v>95</v>
      </c>
    </row>
    <row r="15" spans="1:6" ht="24" x14ac:dyDescent="0.2">
      <c r="A15" s="90"/>
      <c r="C15" s="13" t="s">
        <v>96</v>
      </c>
      <c r="D15" s="27" t="s">
        <v>65</v>
      </c>
      <c r="E15" s="88"/>
    </row>
    <row r="16" spans="1:6" x14ac:dyDescent="0.2">
      <c r="A16" s="90"/>
      <c r="C16" s="13" t="s">
        <v>101</v>
      </c>
      <c r="D16" s="27" t="s">
        <v>65</v>
      </c>
      <c r="E16" s="88"/>
    </row>
    <row r="17" spans="1:5" ht="24" x14ac:dyDescent="0.2">
      <c r="A17" s="66" t="s">
        <v>104</v>
      </c>
      <c r="B17" s="68" t="s">
        <v>104</v>
      </c>
      <c r="C17" s="13" t="s">
        <v>105</v>
      </c>
      <c r="D17" s="27" t="s">
        <v>61</v>
      </c>
      <c r="E17" s="34" t="s">
        <v>106</v>
      </c>
    </row>
    <row r="18" spans="1:5" ht="24" x14ac:dyDescent="0.2">
      <c r="A18" s="91" t="s">
        <v>114</v>
      </c>
      <c r="C18" s="13" t="s">
        <v>115</v>
      </c>
      <c r="D18" s="27" t="s">
        <v>65</v>
      </c>
      <c r="E18" s="80" t="s">
        <v>118</v>
      </c>
    </row>
    <row r="19" spans="1:5" x14ac:dyDescent="0.2">
      <c r="A19" s="91"/>
      <c r="B19" s="68" t="s">
        <v>114</v>
      </c>
      <c r="C19" s="13" t="s">
        <v>116</v>
      </c>
      <c r="D19" s="27" t="s">
        <v>61</v>
      </c>
      <c r="E19" s="80"/>
    </row>
    <row r="20" spans="1:5" x14ac:dyDescent="0.2">
      <c r="A20" s="91"/>
      <c r="B20" s="68" t="s">
        <v>120</v>
      </c>
      <c r="C20" s="13" t="s">
        <v>117</v>
      </c>
      <c r="D20" s="27" t="s">
        <v>61</v>
      </c>
      <c r="E20" s="80"/>
    </row>
    <row r="21" spans="1:5" x14ac:dyDescent="0.2">
      <c r="A21" s="79" t="s">
        <v>130</v>
      </c>
      <c r="C21" s="13" t="s">
        <v>131</v>
      </c>
      <c r="D21" s="27" t="s">
        <v>65</v>
      </c>
      <c r="E21" s="80" t="s">
        <v>134</v>
      </c>
    </row>
    <row r="22" spans="1:5" x14ac:dyDescent="0.2">
      <c r="A22" s="79"/>
      <c r="C22" s="13" t="s">
        <v>132</v>
      </c>
      <c r="D22" s="27" t="s">
        <v>65</v>
      </c>
      <c r="E22" s="80"/>
    </row>
    <row r="23" spans="1:5" ht="15" customHeight="1" x14ac:dyDescent="0.2">
      <c r="A23" s="79" t="s">
        <v>136</v>
      </c>
      <c r="B23" s="86" t="s">
        <v>136</v>
      </c>
      <c r="C23" s="13" t="s">
        <v>138</v>
      </c>
      <c r="D23" s="27" t="s">
        <v>61</v>
      </c>
      <c r="E23" s="80" t="s">
        <v>140</v>
      </c>
    </row>
    <row r="24" spans="1:5" ht="15" customHeight="1" x14ac:dyDescent="0.2">
      <c r="A24" s="79"/>
      <c r="B24" s="86"/>
      <c r="C24" s="13" t="s">
        <v>139</v>
      </c>
      <c r="D24" s="27" t="s">
        <v>61</v>
      </c>
      <c r="E24" s="80"/>
    </row>
    <row r="25" spans="1:5" ht="15" customHeight="1" x14ac:dyDescent="0.2">
      <c r="A25" s="79"/>
      <c r="B25" s="86"/>
      <c r="C25" s="13" t="s">
        <v>143</v>
      </c>
      <c r="D25" s="27" t="s">
        <v>61</v>
      </c>
      <c r="E25" s="80"/>
    </row>
    <row r="26" spans="1:5" ht="12" customHeight="1" x14ac:dyDescent="0.2">
      <c r="A26" s="82">
        <v>42588</v>
      </c>
      <c r="B26" s="87">
        <v>42588</v>
      </c>
      <c r="C26" s="58" t="s">
        <v>147</v>
      </c>
      <c r="D26" s="59" t="s">
        <v>61</v>
      </c>
      <c r="E26" s="84" t="s">
        <v>148</v>
      </c>
    </row>
    <row r="27" spans="1:5" ht="12" customHeight="1" x14ac:dyDescent="0.2">
      <c r="A27" s="83"/>
      <c r="B27" s="87"/>
      <c r="C27" s="58" t="s">
        <v>149</v>
      </c>
      <c r="D27" s="59" t="s">
        <v>61</v>
      </c>
      <c r="E27" s="85"/>
    </row>
    <row r="28" spans="1:5" ht="15" customHeight="1" x14ac:dyDescent="0.2">
      <c r="A28" s="83"/>
      <c r="B28" s="87"/>
      <c r="C28" s="58" t="s">
        <v>150</v>
      </c>
      <c r="D28" s="59" t="s">
        <v>61</v>
      </c>
      <c r="E28" s="85"/>
    </row>
    <row r="29" spans="1:5" ht="15" customHeight="1" x14ac:dyDescent="0.2">
      <c r="A29" s="83"/>
      <c r="B29" s="87"/>
      <c r="C29" s="58" t="s">
        <v>151</v>
      </c>
      <c r="D29" s="59" t="s">
        <v>61</v>
      </c>
      <c r="E29" s="85"/>
    </row>
    <row r="30" spans="1:5" ht="24" x14ac:dyDescent="0.2">
      <c r="A30" s="79">
        <v>42621</v>
      </c>
      <c r="C30" s="13" t="s">
        <v>154</v>
      </c>
      <c r="D30" s="27" t="s">
        <v>65</v>
      </c>
      <c r="E30" s="80" t="s">
        <v>155</v>
      </c>
    </row>
    <row r="31" spans="1:5" ht="24" x14ac:dyDescent="0.2">
      <c r="A31" s="79"/>
      <c r="C31" s="13" t="s">
        <v>157</v>
      </c>
      <c r="D31" s="27" t="s">
        <v>65</v>
      </c>
      <c r="E31" s="80"/>
    </row>
    <row r="32" spans="1:5" ht="15" customHeight="1" x14ac:dyDescent="0.2">
      <c r="A32" s="79">
        <v>42651</v>
      </c>
      <c r="B32" s="86">
        <v>42651</v>
      </c>
      <c r="C32" s="13" t="s">
        <v>182</v>
      </c>
      <c r="D32" s="59" t="s">
        <v>61</v>
      </c>
      <c r="E32" s="81" t="s">
        <v>158</v>
      </c>
    </row>
    <row r="33" spans="1:6" ht="15" customHeight="1" x14ac:dyDescent="0.2">
      <c r="A33" s="79"/>
      <c r="B33" s="86"/>
      <c r="C33" s="13" t="s">
        <v>181</v>
      </c>
      <c r="D33" s="59" t="s">
        <v>61</v>
      </c>
      <c r="E33" s="81"/>
    </row>
    <row r="34" spans="1:6" ht="15" customHeight="1" x14ac:dyDescent="0.2">
      <c r="A34" s="79"/>
      <c r="B34" s="86"/>
      <c r="C34" s="13" t="s">
        <v>183</v>
      </c>
      <c r="D34" s="59" t="s">
        <v>61</v>
      </c>
      <c r="E34" s="81"/>
    </row>
    <row r="35" spans="1:6" ht="15" customHeight="1" x14ac:dyDescent="0.2">
      <c r="A35" s="79"/>
      <c r="B35" s="86"/>
      <c r="C35" s="13" t="s">
        <v>160</v>
      </c>
      <c r="D35" s="59" t="s">
        <v>61</v>
      </c>
      <c r="E35" s="81"/>
      <c r="F35" s="94" t="s">
        <v>180</v>
      </c>
    </row>
    <row r="36" spans="1:6" ht="20.25" customHeight="1" x14ac:dyDescent="0.2">
      <c r="A36" s="79"/>
      <c r="B36" s="86"/>
      <c r="C36" s="13" t="s">
        <v>161</v>
      </c>
      <c r="D36" s="59" t="s">
        <v>61</v>
      </c>
      <c r="E36" s="81"/>
      <c r="F36" s="94"/>
    </row>
    <row r="37" spans="1:6" ht="15" customHeight="1" x14ac:dyDescent="0.2">
      <c r="A37" s="79"/>
      <c r="B37" s="86"/>
      <c r="C37" s="13" t="s">
        <v>162</v>
      </c>
      <c r="D37" s="27" t="s">
        <v>61</v>
      </c>
      <c r="E37" s="81"/>
    </row>
    <row r="38" spans="1:6" ht="15" customHeight="1" x14ac:dyDescent="0.2">
      <c r="A38" s="79"/>
      <c r="B38" s="86"/>
      <c r="C38" s="13" t="s">
        <v>163</v>
      </c>
      <c r="D38" s="27" t="s">
        <v>61</v>
      </c>
      <c r="E38" s="81"/>
    </row>
    <row r="39" spans="1:6" x14ac:dyDescent="0.2">
      <c r="A39" s="79"/>
      <c r="C39" s="13" t="s">
        <v>167</v>
      </c>
      <c r="D39" s="27" t="s">
        <v>65</v>
      </c>
      <c r="E39" s="81"/>
    </row>
    <row r="40" spans="1:6" x14ac:dyDescent="0.2">
      <c r="A40" s="79"/>
      <c r="C40" s="13" t="s">
        <v>166</v>
      </c>
      <c r="D40" s="27" t="s">
        <v>65</v>
      </c>
      <c r="E40" s="81"/>
    </row>
    <row r="41" spans="1:6" x14ac:dyDescent="0.2">
      <c r="A41" s="79"/>
      <c r="C41" s="13" t="s">
        <v>164</v>
      </c>
      <c r="D41" s="27" t="s">
        <v>65</v>
      </c>
      <c r="E41" s="81"/>
    </row>
    <row r="42" spans="1:6" x14ac:dyDescent="0.2">
      <c r="A42" s="79"/>
      <c r="C42" s="13" t="s">
        <v>165</v>
      </c>
      <c r="D42" s="27" t="s">
        <v>65</v>
      </c>
      <c r="E42" s="81"/>
    </row>
    <row r="43" spans="1:6" x14ac:dyDescent="0.2">
      <c r="A43" s="79"/>
      <c r="C43" s="13" t="s">
        <v>170</v>
      </c>
      <c r="D43" s="27" t="s">
        <v>65</v>
      </c>
      <c r="E43" s="81"/>
    </row>
    <row r="44" spans="1:6" x14ac:dyDescent="0.2">
      <c r="A44" s="79"/>
      <c r="C44" s="13" t="s">
        <v>171</v>
      </c>
      <c r="D44" s="27" t="s">
        <v>65</v>
      </c>
      <c r="E44" s="81"/>
    </row>
    <row r="45" spans="1:6" x14ac:dyDescent="0.2">
      <c r="A45" s="79"/>
      <c r="B45" s="68">
        <v>42712</v>
      </c>
      <c r="C45" s="13" t="s">
        <v>173</v>
      </c>
      <c r="D45" s="27" t="s">
        <v>61</v>
      </c>
      <c r="E45" s="81"/>
    </row>
    <row r="46" spans="1:6" x14ac:dyDescent="0.2">
      <c r="A46" s="79">
        <v>42712</v>
      </c>
      <c r="C46" s="13" t="s">
        <v>174</v>
      </c>
      <c r="D46" s="27" t="s">
        <v>65</v>
      </c>
      <c r="E46" s="80" t="s">
        <v>175</v>
      </c>
    </row>
    <row r="47" spans="1:6" x14ac:dyDescent="0.2">
      <c r="A47" s="79"/>
      <c r="C47" s="13" t="s">
        <v>177</v>
      </c>
      <c r="D47" s="27" t="s">
        <v>65</v>
      </c>
      <c r="E47" s="80"/>
    </row>
    <row r="48" spans="1:6" ht="24" x14ac:dyDescent="0.2">
      <c r="A48" s="79"/>
      <c r="C48" s="13" t="s">
        <v>178</v>
      </c>
      <c r="D48" s="27" t="s">
        <v>61</v>
      </c>
      <c r="E48" s="80"/>
    </row>
    <row r="49" spans="1:5" x14ac:dyDescent="0.2">
      <c r="A49" s="79"/>
      <c r="C49" s="13" t="s">
        <v>184</v>
      </c>
      <c r="D49" s="27" t="s">
        <v>61</v>
      </c>
      <c r="E49" s="80"/>
    </row>
    <row r="50" spans="1:5" x14ac:dyDescent="0.2">
      <c r="A50" s="79"/>
      <c r="C50" s="13" t="s">
        <v>185</v>
      </c>
      <c r="D50" s="27" t="s">
        <v>61</v>
      </c>
      <c r="E50" s="80"/>
    </row>
    <row r="51" spans="1:5" x14ac:dyDescent="0.2">
      <c r="A51" s="79"/>
      <c r="C51" s="13" t="s">
        <v>184</v>
      </c>
      <c r="D51" s="27" t="s">
        <v>61</v>
      </c>
      <c r="E51" s="80"/>
    </row>
    <row r="52" spans="1:5" x14ac:dyDescent="0.2">
      <c r="A52" s="79"/>
      <c r="C52" s="13" t="s">
        <v>185</v>
      </c>
      <c r="D52" s="27" t="s">
        <v>61</v>
      </c>
      <c r="E52" s="80"/>
    </row>
    <row r="53" spans="1:5" x14ac:dyDescent="0.2">
      <c r="A53" s="79"/>
      <c r="C53" s="13" t="s">
        <v>187</v>
      </c>
      <c r="D53" s="27" t="s">
        <v>61</v>
      </c>
      <c r="E53" s="80"/>
    </row>
  </sheetData>
  <mergeCells count="25">
    <mergeCell ref="F35:F36"/>
    <mergeCell ref="E46:E53"/>
    <mergeCell ref="A46:A53"/>
    <mergeCell ref="E14:E16"/>
    <mergeCell ref="A14:A16"/>
    <mergeCell ref="E30:E31"/>
    <mergeCell ref="A30:A31"/>
    <mergeCell ref="A21:A22"/>
    <mergeCell ref="E21:E22"/>
    <mergeCell ref="A18:A20"/>
    <mergeCell ref="E3:E11"/>
    <mergeCell ref="E12:E13"/>
    <mergeCell ref="B3:B10"/>
    <mergeCell ref="A3:A11"/>
    <mergeCell ref="A12:A13"/>
    <mergeCell ref="E32:E45"/>
    <mergeCell ref="A32:A45"/>
    <mergeCell ref="E18:E20"/>
    <mergeCell ref="A26:A29"/>
    <mergeCell ref="E26:E29"/>
    <mergeCell ref="A23:A25"/>
    <mergeCell ref="E23:E25"/>
    <mergeCell ref="B23:B25"/>
    <mergeCell ref="B26:B29"/>
    <mergeCell ref="B32:B38"/>
  </mergeCells>
  <conditionalFormatting sqref="D1:D25 D30:D31 D37:D1048576">
    <cfRule type="cellIs" dxfId="39" priority="21" operator="equal">
      <formula>"Fixing"</formula>
    </cfRule>
    <cfRule type="cellIs" dxfId="38" priority="22" operator="equal">
      <formula>"Working"</formula>
    </cfRule>
    <cfRule type="cellIs" dxfId="37" priority="23" operator="equal">
      <formula>"Not started"</formula>
    </cfRule>
    <cfRule type="cellIs" dxfId="36" priority="24" operator="equal">
      <formula>"Completed"</formula>
    </cfRule>
    <cfRule type="cellIs" dxfId="35" priority="25" operator="equal">
      <formula>"Completed"</formula>
    </cfRule>
  </conditionalFormatting>
  <conditionalFormatting sqref="D26:D29">
    <cfRule type="cellIs" dxfId="34" priority="16" operator="equal">
      <formula>"Fixing"</formula>
    </cfRule>
  </conditionalFormatting>
  <conditionalFormatting sqref="D26:D29">
    <cfRule type="cellIs" dxfId="33" priority="17" operator="equal">
      <formula>"Working"</formula>
    </cfRule>
  </conditionalFormatting>
  <conditionalFormatting sqref="D26:D29">
    <cfRule type="cellIs" dxfId="32" priority="18" operator="equal">
      <formula>"Not started"</formula>
    </cfRule>
  </conditionalFormatting>
  <conditionalFormatting sqref="D26:D29">
    <cfRule type="cellIs" dxfId="31" priority="19" operator="equal">
      <formula>"Completed"</formula>
    </cfRule>
  </conditionalFormatting>
  <conditionalFormatting sqref="D26:D29">
    <cfRule type="cellIs" dxfId="30" priority="20" operator="equal">
      <formula>"Completed"</formula>
    </cfRule>
  </conditionalFormatting>
  <conditionalFormatting sqref="D32:D34">
    <cfRule type="cellIs" dxfId="29" priority="11" operator="equal">
      <formula>"Fixing"</formula>
    </cfRule>
  </conditionalFormatting>
  <conditionalFormatting sqref="D32:D34">
    <cfRule type="cellIs" dxfId="28" priority="12" operator="equal">
      <formula>"Working"</formula>
    </cfRule>
  </conditionalFormatting>
  <conditionalFormatting sqref="D32:D34">
    <cfRule type="cellIs" dxfId="27" priority="13" operator="equal">
      <formula>"Not started"</formula>
    </cfRule>
  </conditionalFormatting>
  <conditionalFormatting sqref="D32:D34">
    <cfRule type="cellIs" dxfId="26" priority="14" operator="equal">
      <formula>"Completed"</formula>
    </cfRule>
  </conditionalFormatting>
  <conditionalFormatting sqref="D32:D34">
    <cfRule type="cellIs" dxfId="25" priority="15" operator="equal">
      <formula>"Completed"</formula>
    </cfRule>
  </conditionalFormatting>
  <conditionalFormatting sqref="D35">
    <cfRule type="cellIs" dxfId="24" priority="6" operator="equal">
      <formula>"Fixing"</formula>
    </cfRule>
  </conditionalFormatting>
  <conditionalFormatting sqref="D35">
    <cfRule type="cellIs" dxfId="23" priority="7" operator="equal">
      <formula>"Working"</formula>
    </cfRule>
  </conditionalFormatting>
  <conditionalFormatting sqref="D35">
    <cfRule type="cellIs" dxfId="22" priority="8" operator="equal">
      <formula>"Not started"</formula>
    </cfRule>
  </conditionalFormatting>
  <conditionalFormatting sqref="D35">
    <cfRule type="cellIs" dxfId="21" priority="9" operator="equal">
      <formula>"Completed"</formula>
    </cfRule>
  </conditionalFormatting>
  <conditionalFormatting sqref="D35">
    <cfRule type="cellIs" dxfId="20" priority="10" operator="equal">
      <formula>"Completed"</formula>
    </cfRule>
  </conditionalFormatting>
  <conditionalFormatting sqref="D36">
    <cfRule type="cellIs" dxfId="19" priority="1" operator="equal">
      <formula>"Fixing"</formula>
    </cfRule>
  </conditionalFormatting>
  <conditionalFormatting sqref="D36">
    <cfRule type="cellIs" dxfId="18" priority="2" operator="equal">
      <formula>"Working"</formula>
    </cfRule>
  </conditionalFormatting>
  <conditionalFormatting sqref="D36">
    <cfRule type="cellIs" dxfId="17" priority="3" operator="equal">
      <formula>"Not started"</formula>
    </cfRule>
  </conditionalFormatting>
  <conditionalFormatting sqref="D36">
    <cfRule type="cellIs" dxfId="16" priority="4" operator="equal">
      <formula>"Completed"</formula>
    </cfRule>
  </conditionalFormatting>
  <conditionalFormatting sqref="D36">
    <cfRule type="cellIs" dxfId="1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2016-08-12T08:35:09Z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